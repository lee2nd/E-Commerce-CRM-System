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桌面\"/>
    </mc:Choice>
  </mc:AlternateContent>
  <xr:revisionPtr revIDLastSave="0" documentId="13_ncr:1_{5DB62895-2CA6-4E94-BCE5-E49B8F306DC3}" xr6:coauthVersionLast="47" xr6:coauthVersionMax="47" xr10:uidLastSave="{00000000-0000-0000-0000-000000000000}"/>
  <bookViews>
    <workbookView xWindow="-108" yWindow="-108" windowWidth="23256" windowHeight="12576" tabRatio="828" activeTab="11" xr2:uid="{00000000-000D-0000-FFFF-FFFF00000000}"/>
  </bookViews>
  <sheets>
    <sheet name="Control Panel" sheetId="16" r:id="rId1"/>
    <sheet name="入庫(U)" sheetId="17" r:id="rId2"/>
    <sheet name="對照表" sheetId="19" r:id="rId3"/>
    <sheet name="雅虎orders" sheetId="15" r:id="rId4"/>
    <sheet name="露天orders" sheetId="14" r:id="rId5"/>
    <sheet name="蝦皮orders" sheetId="3" r:id="rId6"/>
    <sheet name="日報表A" sheetId="4" r:id="rId7"/>
    <sheet name="月報表A" sheetId="5" r:id="rId8"/>
    <sheet name="日報表B" sheetId="9" r:id="rId9"/>
    <sheet name="月報表B" sheetId="10" r:id="rId10"/>
    <sheet name="入庫" sheetId="6" r:id="rId11"/>
    <sheet name="出庫" sheetId="7" r:id="rId12"/>
    <sheet name="圖表" sheetId="27" r:id="rId13"/>
    <sheet name="庫存明細" sheetId="8" r:id="rId14"/>
    <sheet name="促銷組合標籤" sheetId="12" r:id="rId15"/>
  </sheets>
  <functionGroups builtInGroupCount="19"/>
  <definedNames>
    <definedName name="_xlnm._FilterDatabase" localSheetId="10" hidden="1">入庫!$A$1:$J$56</definedName>
    <definedName name="_xlnm._FilterDatabase" localSheetId="6" hidden="1">日報表A!$A$1:$Q$32</definedName>
    <definedName name="_xlnm._FilterDatabase" localSheetId="8" hidden="1">日報表B!$A$1:$Q$8</definedName>
    <definedName name="_xlnm._FilterDatabase" localSheetId="11" hidden="1">出庫!$A$1:$D$100</definedName>
    <definedName name="_xlnm._FilterDatabase" localSheetId="13" hidden="1">庫存明細!$A$1:$H$47</definedName>
    <definedName name="_xlnm._FilterDatabase" localSheetId="2" hidden="1">對照表!$A$1:$F$62</definedName>
    <definedName name="_xlnm._FilterDatabase" localSheetId="5" hidden="1">蝦皮orders!$A$1:$AW$96</definedName>
    <definedName name="_xlnm._FilterDatabase" localSheetId="4" hidden="1">露天orders!$A$1:$V$1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9" l="1"/>
  <c r="L6" i="9"/>
  <c r="L2" i="9"/>
  <c r="L7" i="9"/>
  <c r="L5" i="9"/>
  <c r="L4" i="9"/>
  <c r="L3" i="9"/>
  <c r="L32" i="4"/>
  <c r="L31" i="4"/>
  <c r="L29" i="4"/>
  <c r="L28" i="4"/>
  <c r="L26" i="4"/>
  <c r="L25" i="4"/>
  <c r="L23" i="4"/>
  <c r="L22" i="4"/>
  <c r="L21" i="4"/>
  <c r="L17" i="4"/>
  <c r="L15" i="4"/>
  <c r="L20" i="4"/>
  <c r="L11" i="4"/>
  <c r="L6" i="4"/>
  <c r="L5" i="4"/>
  <c r="L4" i="4"/>
  <c r="L3" i="4"/>
  <c r="L30" i="4"/>
  <c r="L24" i="4"/>
  <c r="L19" i="4"/>
  <c r="L18" i="4"/>
  <c r="L16" i="4"/>
  <c r="L14" i="4"/>
  <c r="L13" i="4"/>
  <c r="L9" i="4"/>
  <c r="L8" i="4"/>
  <c r="L7" i="4"/>
  <c r="L2" i="4"/>
  <c r="B55" i="27"/>
  <c r="B56" i="27"/>
  <c r="B52" i="27"/>
  <c r="B50" i="27"/>
  <c r="B48" i="27"/>
  <c r="B47" i="27"/>
  <c r="B54" i="27"/>
  <c r="B53" i="27"/>
  <c r="B46" i="27"/>
  <c r="B49" i="27"/>
  <c r="B51" i="27"/>
  <c r="B45" i="27"/>
  <c r="CV39" i="27"/>
  <c r="C39" i="27" s="1"/>
  <c r="CV38" i="27"/>
  <c r="C38" i="27" s="1"/>
  <c r="CV37" i="27"/>
  <c r="C37" i="27" s="1"/>
  <c r="CV36" i="27"/>
  <c r="C36" i="27" s="1"/>
  <c r="CV35" i="27"/>
  <c r="C35" i="27" s="1"/>
  <c r="CV34" i="27"/>
  <c r="C34" i="27" s="1"/>
  <c r="CV33" i="27"/>
  <c r="C33" i="27" s="1"/>
  <c r="CV32" i="27"/>
  <c r="C32" i="27" s="1"/>
  <c r="CV31" i="27"/>
  <c r="C31" i="27" s="1"/>
  <c r="CV30" i="27"/>
  <c r="C30" i="27" s="1"/>
  <c r="CV29" i="27"/>
  <c r="C29" i="27" s="1"/>
  <c r="CV28" i="27"/>
  <c r="C28" i="27" s="1"/>
  <c r="B39" i="27"/>
  <c r="B38" i="27"/>
  <c r="B37" i="27"/>
  <c r="B36" i="27"/>
  <c r="B35" i="27"/>
  <c r="B34" i="27"/>
  <c r="B33" i="27"/>
  <c r="B32" i="27"/>
  <c r="B31" i="27"/>
  <c r="B30" i="27"/>
  <c r="B29" i="27"/>
  <c r="B28" i="27"/>
  <c r="E13" i="27"/>
  <c r="E12" i="27"/>
  <c r="E11" i="27"/>
  <c r="E10" i="27"/>
  <c r="E9" i="27"/>
  <c r="E8" i="27"/>
  <c r="E7" i="27"/>
  <c r="E6" i="27"/>
  <c r="E5" i="27"/>
  <c r="E4" i="27"/>
  <c r="E3" i="27"/>
  <c r="E2" i="27"/>
  <c r="D13" i="27"/>
  <c r="D12" i="27"/>
  <c r="D11" i="27"/>
  <c r="D10" i="27"/>
  <c r="D9" i="27"/>
  <c r="D8" i="27"/>
  <c r="D7" i="27"/>
  <c r="D6" i="27"/>
  <c r="D5" i="27"/>
  <c r="D4" i="27"/>
  <c r="D3" i="27"/>
  <c r="D2" i="27"/>
  <c r="C13" i="27"/>
  <c r="C12" i="27"/>
  <c r="C11" i="27"/>
  <c r="C10" i="27"/>
  <c r="C9" i="27"/>
  <c r="C8" i="27"/>
  <c r="C7" i="27"/>
  <c r="C6" i="27"/>
  <c r="C5" i="27"/>
  <c r="C4" i="27"/>
  <c r="C3" i="27"/>
  <c r="C2" i="27"/>
  <c r="B13" i="27"/>
  <c r="B12" i="27"/>
  <c r="B11" i="27"/>
  <c r="B10" i="27"/>
  <c r="B9" i="27"/>
  <c r="B8" i="27"/>
  <c r="B7" i="27"/>
  <c r="B6" i="27"/>
  <c r="B5" i="27"/>
  <c r="B4" i="27"/>
  <c r="B3" i="27"/>
  <c r="B2" i="27"/>
  <c r="R59" i="3"/>
  <c r="R62" i="3"/>
  <c r="R78" i="3"/>
  <c r="S87" i="3"/>
  <c r="R87" i="3"/>
  <c r="Q87" i="3"/>
  <c r="S83" i="3"/>
  <c r="R83" i="3"/>
  <c r="Q83" i="3"/>
  <c r="S81" i="3"/>
  <c r="R81" i="3"/>
  <c r="Q81" i="3"/>
  <c r="S78" i="3"/>
  <c r="Q78" i="3"/>
  <c r="S68" i="3"/>
  <c r="R68" i="3"/>
  <c r="Q68" i="3"/>
  <c r="S64" i="3"/>
  <c r="R64" i="3"/>
  <c r="Q64" i="3"/>
  <c r="S62" i="3"/>
  <c r="Q62" i="3"/>
  <c r="S59" i="3"/>
  <c r="Q59" i="3"/>
  <c r="F7" i="27" l="1"/>
  <c r="F6" i="27" l="1"/>
  <c r="F13" i="27"/>
  <c r="F9" i="27"/>
  <c r="F8" i="27"/>
  <c r="F2" i="27"/>
  <c r="F10" i="27"/>
  <c r="F5" i="27"/>
  <c r="F12" i="27"/>
  <c r="F4" i="27"/>
  <c r="F11" i="27"/>
  <c r="F3" i="27"/>
  <c r="U25" i="27"/>
  <c r="K16" i="14"/>
  <c r="J16" i="14"/>
  <c r="E16" i="14"/>
  <c r="B16" i="14"/>
  <c r="R15" i="14"/>
  <c r="K15" i="14"/>
  <c r="J15" i="14"/>
  <c r="E15" i="14"/>
  <c r="B15" i="14"/>
  <c r="R14" i="14"/>
  <c r="K14" i="14"/>
  <c r="J14" i="14"/>
  <c r="E14" i="14"/>
  <c r="B14" i="14"/>
  <c r="R13" i="14"/>
  <c r="K13" i="14"/>
  <c r="J13" i="14"/>
  <c r="E13" i="14"/>
  <c r="B13" i="14"/>
  <c r="R12" i="14"/>
  <c r="K12" i="14"/>
  <c r="J12" i="14"/>
  <c r="E12" i="14"/>
  <c r="B12" i="14"/>
  <c r="R11" i="14"/>
  <c r="K11" i="14"/>
  <c r="J11" i="14"/>
  <c r="E11" i="14"/>
  <c r="B11" i="14"/>
  <c r="R10" i="14"/>
  <c r="K10" i="14"/>
  <c r="J10" i="14"/>
  <c r="E10" i="14"/>
  <c r="B10" i="14"/>
  <c r="R9" i="14"/>
  <c r="K9" i="14"/>
  <c r="J9" i="14"/>
  <c r="E9" i="14"/>
  <c r="B9" i="14"/>
  <c r="K8" i="14"/>
  <c r="J8" i="14"/>
  <c r="E8" i="14"/>
  <c r="B8" i="14"/>
  <c r="K7" i="14"/>
  <c r="J7" i="14"/>
  <c r="E7" i="14"/>
  <c r="B7" i="14"/>
  <c r="K6" i="14"/>
  <c r="J6" i="14"/>
  <c r="E6" i="14"/>
  <c r="B6" i="14"/>
  <c r="R5" i="14"/>
  <c r="K5" i="14"/>
  <c r="J5" i="14"/>
  <c r="E5" i="14"/>
  <c r="B5" i="14"/>
  <c r="R4" i="14"/>
  <c r="K4" i="14"/>
  <c r="J4" i="14"/>
  <c r="E4" i="14"/>
  <c r="B4" i="14"/>
  <c r="K3" i="14"/>
  <c r="J3" i="14"/>
  <c r="E3" i="14"/>
  <c r="D3" i="14"/>
  <c r="B3" i="14"/>
  <c r="K2" i="14"/>
  <c r="J2" i="14"/>
  <c r="E2" i="14"/>
  <c r="D2" i="14"/>
  <c r="B2" i="14"/>
  <c r="E50" i="6"/>
  <c r="E15" i="6" l="1"/>
  <c r="E14" i="6"/>
  <c r="E32" i="6"/>
  <c r="E33" i="6"/>
  <c r="E23" i="6"/>
  <c r="E22" i="6"/>
  <c r="E21" i="6"/>
  <c r="E49" i="6"/>
  <c r="E48" i="6"/>
  <c r="E47" i="6"/>
  <c r="E46" i="6"/>
  <c r="E44" i="6"/>
  <c r="E43" i="6"/>
  <c r="E42" i="6"/>
  <c r="E41" i="6"/>
  <c r="E40" i="6"/>
  <c r="E39" i="6"/>
  <c r="E38" i="6"/>
  <c r="E37" i="6"/>
  <c r="E36" i="6"/>
  <c r="E35" i="6"/>
  <c r="E34" i="6"/>
  <c r="E31" i="6"/>
  <c r="E30" i="6"/>
  <c r="E29" i="6"/>
  <c r="E28" i="6"/>
  <c r="E27" i="6"/>
  <c r="E26" i="6"/>
  <c r="E25" i="6"/>
  <c r="E24" i="6"/>
  <c r="E20" i="6"/>
  <c r="E19" i="6"/>
  <c r="E18" i="6"/>
  <c r="E13" i="6"/>
  <c r="E12" i="6"/>
  <c r="E11" i="6"/>
  <c r="E10" i="6"/>
  <c r="E9" i="6"/>
  <c r="E8" i="6"/>
  <c r="E7" i="6"/>
  <c r="E6" i="6"/>
  <c r="E5" i="6"/>
  <c r="E4" i="6"/>
  <c r="E3" i="6"/>
  <c r="E2" i="6"/>
  <c r="E45" i="6"/>
</calcChain>
</file>

<file path=xl/sharedStrings.xml><?xml version="1.0" encoding="utf-8"?>
<sst xmlns="http://schemas.openxmlformats.org/spreadsheetml/2006/main" count="5989" uniqueCount="1021">
  <si>
    <t>訂單編號 (單)</t>
  </si>
  <si>
    <t>訂單狀態 (單)</t>
  </si>
  <si>
    <t>退貨 / 退款狀態 (單)</t>
  </si>
  <si>
    <t>買家帳號 (單)</t>
  </si>
  <si>
    <t>訂單成立時間 (單)</t>
  </si>
  <si>
    <t>訂單小計 (單)</t>
  </si>
  <si>
    <t>買家支付的運費 (單)</t>
  </si>
  <si>
    <t>訂單總金額 (單)</t>
  </si>
  <si>
    <t>蝦皮補貼 (單)</t>
  </si>
  <si>
    <t>蝦幣折抵 (單)</t>
  </si>
  <si>
    <t>蝦皮信用卡活動折抵 (單)</t>
  </si>
  <si>
    <t>折扣券代碼 (單)</t>
  </si>
  <si>
    <t>賣家折扣券折抵金額 (單)</t>
  </si>
  <si>
    <t>蝦幣回饋券</t>
  </si>
  <si>
    <t>蝦皮折扣券折抵金額 (單)</t>
  </si>
  <si>
    <t>成交手續費 (單)</t>
  </si>
  <si>
    <t>活動服務費</t>
  </si>
  <si>
    <t>金流服務費</t>
  </si>
  <si>
    <t>分期付款期數 (單)</t>
  </si>
  <si>
    <t>信用卡手續費利率 (單)</t>
  </si>
  <si>
    <t>商品名稱 (品)</t>
  </si>
  <si>
    <t>商品選項名稱 (品)</t>
  </si>
  <si>
    <t>商品原價 (品)</t>
  </si>
  <si>
    <t>商品活動價格 (品)</t>
  </si>
  <si>
    <t>主商品貨號</t>
  </si>
  <si>
    <t>商品選項貨號</t>
  </si>
  <si>
    <t>數量</t>
  </si>
  <si>
    <t>促銷組合指標 (品)</t>
  </si>
  <si>
    <t>收件地址 (單)</t>
  </si>
  <si>
    <t>收件者電話 (單)</t>
  </si>
  <si>
    <t>取件門市店號 (單)</t>
  </si>
  <si>
    <t>城市 (單)</t>
  </si>
  <si>
    <t>行政區 (單)</t>
  </si>
  <si>
    <t>郵遞區號 (單)</t>
  </si>
  <si>
    <t>收件者姓名 (單)</t>
  </si>
  <si>
    <t>寄送方式 (單)</t>
  </si>
  <si>
    <t>出貨方式 (單)</t>
  </si>
  <si>
    <t>備貨時間 (單)</t>
  </si>
  <si>
    <t>付款方式 (單)</t>
  </si>
  <si>
    <t>最晚出貨日期 (單)</t>
  </si>
  <si>
    <t>包裹查詢號碼 (單)</t>
  </si>
  <si>
    <t>買家付款時間 (單)</t>
  </si>
  <si>
    <t>實際出貨時間 (單)</t>
  </si>
  <si>
    <t>訂單完成時間 (單)</t>
  </si>
  <si>
    <t>買家備註 (單)</t>
  </si>
  <si>
    <t>備註 (單)</t>
  </si>
  <si>
    <t>黑色</t>
  </si>
  <si>
    <t>黃色</t>
  </si>
  <si>
    <t>日期</t>
  </si>
  <si>
    <t>營業額</t>
  </si>
  <si>
    <t>淨利</t>
  </si>
  <si>
    <t>備註</t>
  </si>
  <si>
    <t>月份</t>
  </si>
  <si>
    <t>營業額</t>
    <phoneticPr fontId="4" type="noConversion"/>
  </si>
  <si>
    <t>原味</t>
    <phoneticPr fontId="2" type="noConversion"/>
  </si>
  <si>
    <t>老薑</t>
    <phoneticPr fontId="2" type="noConversion"/>
  </si>
  <si>
    <t>灰色M</t>
    <phoneticPr fontId="2" type="noConversion"/>
  </si>
  <si>
    <r>
      <rPr>
        <sz val="10"/>
        <rFont val="細明體"/>
        <family val="3"/>
        <charset val="136"/>
      </rPr>
      <t>黑色</t>
    </r>
    <r>
      <rPr>
        <sz val="10"/>
        <rFont val="Arial"/>
        <family val="2"/>
      </rPr>
      <t>L</t>
    </r>
    <phoneticPr fontId="2" type="noConversion"/>
  </si>
  <si>
    <r>
      <rPr>
        <sz val="10"/>
        <rFont val="細明體"/>
        <family val="3"/>
        <charset val="136"/>
      </rPr>
      <t>黑色</t>
    </r>
    <r>
      <rPr>
        <sz val="10"/>
        <rFont val="Arial"/>
        <family val="2"/>
      </rPr>
      <t>M</t>
    </r>
    <phoneticPr fontId="2" type="noConversion"/>
  </si>
  <si>
    <t>紅色M</t>
    <phoneticPr fontId="2" type="noConversion"/>
  </si>
  <si>
    <t>愛心</t>
    <phoneticPr fontId="2" type="noConversion"/>
  </si>
  <si>
    <t>星星</t>
    <phoneticPr fontId="2" type="noConversion"/>
  </si>
  <si>
    <t>動物</t>
    <phoneticPr fontId="2" type="noConversion"/>
  </si>
  <si>
    <t>粉色</t>
  </si>
  <si>
    <t>粉色</t>
    <phoneticPr fontId="2" type="noConversion"/>
  </si>
  <si>
    <t>藍色</t>
  </si>
  <si>
    <t>藍色</t>
    <phoneticPr fontId="2" type="noConversion"/>
  </si>
  <si>
    <t>黑色</t>
    <phoneticPr fontId="2" type="noConversion"/>
  </si>
  <si>
    <t>紅色</t>
  </si>
  <si>
    <t>紅色</t>
    <phoneticPr fontId="2" type="noConversion"/>
  </si>
  <si>
    <t>綠色</t>
  </si>
  <si>
    <t>橘色</t>
  </si>
  <si>
    <t>成本</t>
    <phoneticPr fontId="2" type="noConversion"/>
  </si>
  <si>
    <t>貨號</t>
    <phoneticPr fontId="2" type="noConversion"/>
  </si>
  <si>
    <t>名稱</t>
    <phoneticPr fontId="2" type="noConversion"/>
  </si>
  <si>
    <t>規格</t>
    <phoneticPr fontId="2" type="noConversion"/>
  </si>
  <si>
    <t>入庫數量</t>
    <phoneticPr fontId="2" type="noConversion"/>
  </si>
  <si>
    <t>單價</t>
    <phoneticPr fontId="2" type="noConversion"/>
  </si>
  <si>
    <t>金額</t>
    <phoneticPr fontId="2" type="noConversion"/>
  </si>
  <si>
    <t>入庫日期</t>
    <phoneticPr fontId="2" type="noConversion"/>
  </si>
  <si>
    <t>出庫數量</t>
    <phoneticPr fontId="2" type="noConversion"/>
  </si>
  <si>
    <t>出庫日期</t>
    <phoneticPr fontId="2" type="noConversion"/>
  </si>
  <si>
    <t>銷售平台</t>
    <phoneticPr fontId="2" type="noConversion"/>
  </si>
  <si>
    <t>出庫人</t>
    <phoneticPr fontId="2" type="noConversion"/>
  </si>
  <si>
    <t>入庫人</t>
    <phoneticPr fontId="2" type="noConversion"/>
  </si>
  <si>
    <t>進貨統計</t>
    <phoneticPr fontId="2" type="noConversion"/>
  </si>
  <si>
    <t>銷售統計</t>
    <phoneticPr fontId="2" type="noConversion"/>
  </si>
  <si>
    <t>現有庫存</t>
    <phoneticPr fontId="2" type="noConversion"/>
  </si>
  <si>
    <t>數量</t>
    <phoneticPr fontId="2" type="noConversion"/>
  </si>
  <si>
    <t>合計</t>
    <phoneticPr fontId="2" type="noConversion"/>
  </si>
  <si>
    <r>
      <t>A</t>
    </r>
    <r>
      <rPr>
        <sz val="10"/>
        <rFont val="Arial"/>
        <family val="2"/>
      </rPr>
      <t>1</t>
    </r>
    <phoneticPr fontId="2" type="noConversion"/>
  </si>
  <si>
    <r>
      <t>A</t>
    </r>
    <r>
      <rPr>
        <sz val="10"/>
        <rFont val="Arial"/>
        <family val="2"/>
      </rPr>
      <t>2</t>
    </r>
    <phoneticPr fontId="2" type="noConversion"/>
  </si>
  <si>
    <t>女生冰絲打底褲</t>
    <phoneticPr fontId="2" type="noConversion"/>
  </si>
  <si>
    <t>男生冰絲打底褲</t>
    <phoneticPr fontId="2" type="noConversion"/>
  </si>
  <si>
    <t>男女情侶短襪</t>
    <phoneticPr fontId="2" type="noConversion"/>
  </si>
  <si>
    <t>單入食品</t>
    <phoneticPr fontId="2" type="noConversion"/>
  </si>
  <si>
    <t>女生刺繡隱形襪</t>
    <phoneticPr fontId="2" type="noConversion"/>
  </si>
  <si>
    <t>女生上衣裙</t>
    <phoneticPr fontId="2" type="noConversion"/>
  </si>
  <si>
    <t>女生植物纖維打底褲</t>
    <phoneticPr fontId="2" type="noConversion"/>
  </si>
  <si>
    <t>印花短褲-加大碼</t>
    <phoneticPr fontId="2" type="noConversion"/>
  </si>
  <si>
    <t>印花短褲-均碼</t>
    <phoneticPr fontId="2" type="noConversion"/>
  </si>
  <si>
    <r>
      <t>A</t>
    </r>
    <r>
      <rPr>
        <sz val="10"/>
        <rFont val="Arial"/>
        <family val="2"/>
      </rPr>
      <t>3</t>
    </r>
    <r>
      <rPr>
        <sz val="10"/>
        <rFont val="Arial"/>
        <family val="2"/>
      </rPr>
      <t/>
    </r>
  </si>
  <si>
    <r>
      <t>A</t>
    </r>
    <r>
      <rPr>
        <sz val="10"/>
        <rFont val="Arial"/>
        <family val="2"/>
      </rPr>
      <t>4</t>
    </r>
    <r>
      <rPr>
        <sz val="10"/>
        <rFont val="Arial"/>
        <family val="2"/>
      </rPr>
      <t/>
    </r>
  </si>
  <si>
    <r>
      <rPr>
        <sz val="10"/>
        <rFont val="細明體"/>
        <family val="3"/>
        <charset val="136"/>
      </rPr>
      <t>紅色</t>
    </r>
    <r>
      <rPr>
        <sz val="10"/>
        <rFont val="Arial"/>
        <family val="2"/>
      </rPr>
      <t>L</t>
    </r>
    <phoneticPr fontId="2" type="noConversion"/>
  </si>
  <si>
    <r>
      <rPr>
        <sz val="10"/>
        <rFont val="細明體"/>
        <family val="3"/>
        <charset val="136"/>
      </rPr>
      <t>黑色</t>
    </r>
    <r>
      <rPr>
        <sz val="10"/>
        <rFont val="Arial"/>
        <family val="2"/>
      </rPr>
      <t>M</t>
    </r>
    <phoneticPr fontId="2" type="noConversion"/>
  </si>
  <si>
    <r>
      <rPr>
        <sz val="10"/>
        <rFont val="細明體"/>
        <family val="3"/>
        <charset val="136"/>
      </rPr>
      <t>黑色</t>
    </r>
    <r>
      <rPr>
        <sz val="10"/>
        <rFont val="Arial"/>
        <family val="2"/>
      </rPr>
      <t>L</t>
    </r>
    <phoneticPr fontId="2" type="noConversion"/>
  </si>
  <si>
    <r>
      <rPr>
        <sz val="10"/>
        <rFont val="細明體"/>
        <family val="3"/>
        <charset val="136"/>
      </rPr>
      <t>粉色</t>
    </r>
    <r>
      <rPr>
        <sz val="10"/>
        <rFont val="Arial"/>
        <family val="2"/>
      </rPr>
      <t>M</t>
    </r>
    <phoneticPr fontId="2" type="noConversion"/>
  </si>
  <si>
    <r>
      <rPr>
        <sz val="10"/>
        <rFont val="細明體"/>
        <family val="3"/>
        <charset val="136"/>
      </rPr>
      <t>粉色</t>
    </r>
    <r>
      <rPr>
        <sz val="10"/>
        <rFont val="Arial"/>
        <family val="2"/>
      </rPr>
      <t>L</t>
    </r>
    <phoneticPr fontId="2" type="noConversion"/>
  </si>
  <si>
    <r>
      <rPr>
        <sz val="10"/>
        <rFont val="細明體"/>
        <family val="3"/>
        <charset val="136"/>
      </rPr>
      <t>藍色</t>
    </r>
    <r>
      <rPr>
        <sz val="10"/>
        <rFont val="Arial"/>
        <family val="2"/>
      </rPr>
      <t>M</t>
    </r>
    <phoneticPr fontId="2" type="noConversion"/>
  </si>
  <si>
    <r>
      <rPr>
        <sz val="10"/>
        <rFont val="細明體"/>
        <family val="3"/>
        <charset val="136"/>
      </rPr>
      <t>藍色</t>
    </r>
    <r>
      <rPr>
        <sz val="10"/>
        <rFont val="Arial"/>
        <family val="2"/>
      </rPr>
      <t>L</t>
    </r>
    <phoneticPr fontId="2" type="noConversion"/>
  </si>
  <si>
    <t>膚色M</t>
    <phoneticPr fontId="2" type="noConversion"/>
  </si>
  <si>
    <r>
      <rPr>
        <sz val="10"/>
        <rFont val="細明體"/>
        <family val="3"/>
        <charset val="136"/>
      </rPr>
      <t>膚色</t>
    </r>
    <r>
      <rPr>
        <sz val="10"/>
        <rFont val="Arial"/>
        <family val="2"/>
      </rPr>
      <t>L</t>
    </r>
    <phoneticPr fontId="2" type="noConversion"/>
  </si>
  <si>
    <r>
      <rPr>
        <sz val="10"/>
        <rFont val="細明體"/>
        <family val="3"/>
        <charset val="136"/>
      </rPr>
      <t>藏藍色</t>
    </r>
    <r>
      <rPr>
        <sz val="10"/>
        <rFont val="Arial"/>
        <family val="2"/>
      </rPr>
      <t>XL</t>
    </r>
    <phoneticPr fontId="2" type="noConversion"/>
  </si>
  <si>
    <r>
      <rPr>
        <sz val="10"/>
        <rFont val="細明體"/>
        <family val="3"/>
        <charset val="136"/>
      </rPr>
      <t>寶藍色</t>
    </r>
    <r>
      <rPr>
        <sz val="10"/>
        <rFont val="Arial"/>
        <family val="2"/>
      </rPr>
      <t>XL</t>
    </r>
    <phoneticPr fontId="2" type="noConversion"/>
  </si>
  <si>
    <r>
      <rPr>
        <sz val="10"/>
        <rFont val="細明體"/>
        <family val="3"/>
        <charset val="136"/>
      </rPr>
      <t>白色</t>
    </r>
    <r>
      <rPr>
        <sz val="10"/>
        <rFont val="Arial"/>
        <family val="2"/>
      </rPr>
      <t>M</t>
    </r>
    <phoneticPr fontId="2" type="noConversion"/>
  </si>
  <si>
    <r>
      <rPr>
        <sz val="10"/>
        <rFont val="細明體"/>
        <family val="3"/>
        <charset val="136"/>
      </rPr>
      <t>白色</t>
    </r>
    <r>
      <rPr>
        <sz val="10"/>
        <rFont val="Arial"/>
        <family val="2"/>
      </rPr>
      <t>L</t>
    </r>
    <phoneticPr fontId="2" type="noConversion"/>
  </si>
  <si>
    <t>灰色L</t>
    <phoneticPr fontId="2" type="noConversion"/>
  </si>
  <si>
    <t>藍色L</t>
    <phoneticPr fontId="2" type="noConversion"/>
  </si>
  <si>
    <r>
      <rPr>
        <sz val="10"/>
        <rFont val="細明體"/>
        <family val="3"/>
        <charset val="136"/>
      </rPr>
      <t>灰色</t>
    </r>
    <r>
      <rPr>
        <sz val="10"/>
        <rFont val="Arial"/>
        <family val="2"/>
      </rPr>
      <t>L</t>
    </r>
    <phoneticPr fontId="2" type="noConversion"/>
  </si>
  <si>
    <t>A4-1</t>
    <phoneticPr fontId="2" type="noConversion"/>
  </si>
  <si>
    <t>A5</t>
    <phoneticPr fontId="2" type="noConversion"/>
  </si>
  <si>
    <t>A6</t>
    <phoneticPr fontId="2" type="noConversion"/>
  </si>
  <si>
    <t>A7</t>
    <phoneticPr fontId="2" type="noConversion"/>
  </si>
  <si>
    <t>A8</t>
    <phoneticPr fontId="2" type="noConversion"/>
  </si>
  <si>
    <t>賣家折扣券</t>
    <phoneticPr fontId="2" type="noConversion"/>
  </si>
  <si>
    <t>促銷組合折扣</t>
    <phoneticPr fontId="2" type="noConversion"/>
  </si>
  <si>
    <t>A</t>
    <phoneticPr fontId="2" type="noConversion"/>
  </si>
  <si>
    <t>B</t>
    <phoneticPr fontId="2" type="noConversion"/>
  </si>
  <si>
    <t>折扣金額</t>
    <phoneticPr fontId="2" type="noConversion"/>
  </si>
  <si>
    <r>
      <rPr>
        <sz val="10"/>
        <rFont val="細明體"/>
        <family val="3"/>
        <charset val="136"/>
      </rPr>
      <t>蝦皮促銷組合折扣</t>
    </r>
    <r>
      <rPr>
        <sz val="10"/>
        <rFont val="Arial"/>
        <family val="2"/>
      </rPr>
      <t>:</t>
    </r>
    <r>
      <rPr>
        <sz val="10"/>
        <rFont val="細明體"/>
        <family val="3"/>
        <charset val="136"/>
      </rPr>
      <t>促銷組合標籤</t>
    </r>
    <r>
      <rPr>
        <sz val="10"/>
        <rFont val="Arial"/>
        <family val="2"/>
      </rPr>
      <t>(</t>
    </r>
    <r>
      <rPr>
        <sz val="10"/>
        <rFont val="細明體"/>
        <family val="3"/>
        <charset val="136"/>
      </rPr>
      <t>品</t>
    </r>
    <r>
      <rPr>
        <sz val="10"/>
        <rFont val="Arial"/>
        <family val="2"/>
      </rPr>
      <t>)</t>
    </r>
    <phoneticPr fontId="2" type="noConversion"/>
  </si>
  <si>
    <t>促銷組合標籤</t>
    <phoneticPr fontId="2" type="noConversion"/>
  </si>
  <si>
    <t>結帳時間</t>
  </si>
  <si>
    <t>訂單編號</t>
  </si>
  <si>
    <t>付款時間</t>
  </si>
  <si>
    <t>買家帳號</t>
  </si>
  <si>
    <t>商品編號</t>
  </si>
  <si>
    <t>商品名稱</t>
  </si>
  <si>
    <t>規格</t>
  </si>
  <si>
    <t>項目</t>
  </si>
  <si>
    <t>賣家自用料號</t>
  </si>
  <si>
    <t>單價</t>
  </si>
  <si>
    <t>運送方式</t>
  </si>
  <si>
    <t>折扣金額</t>
  </si>
  <si>
    <t>運費</t>
  </si>
  <si>
    <t>結帳總金額</t>
  </si>
  <si>
    <t>給賣家的話</t>
  </si>
  <si>
    <t>交易狀況</t>
  </si>
  <si>
    <t>物流追蹤碼/交貨便代碼/寄件代碼/郵局配送單號</t>
  </si>
  <si>
    <t>收件人姓名</t>
  </si>
  <si>
    <t>電話</t>
  </si>
  <si>
    <t>手機</t>
  </si>
  <si>
    <t>收件地址</t>
  </si>
  <si>
    <t>訂單成立時間</t>
  </si>
  <si>
    <t>帳單編號</t>
  </si>
  <si>
    <t>第一組貨號</t>
  </si>
  <si>
    <t>第二組貨號</t>
  </si>
  <si>
    <t>商品條碼</t>
  </si>
  <si>
    <t>規格1</t>
  </si>
  <si>
    <t>規格2</t>
  </si>
  <si>
    <t>買家拍賣代號</t>
  </si>
  <si>
    <t>買家暱稱</t>
  </si>
  <si>
    <t>購買金額</t>
  </si>
  <si>
    <t>購買數量</t>
  </si>
  <si>
    <t>購買總額</t>
  </si>
  <si>
    <t>折扣活動總金額</t>
  </si>
  <si>
    <t>原運費</t>
  </si>
  <si>
    <t>訂單金額</t>
  </si>
  <si>
    <t>買家實付金額</t>
  </si>
  <si>
    <t>超贈點</t>
  </si>
  <si>
    <t>餘額部份支付金額</t>
  </si>
  <si>
    <t>取件人姓名</t>
  </si>
  <si>
    <t>郵遞區號</t>
  </si>
  <si>
    <t>收件人住址</t>
  </si>
  <si>
    <t>發票統編</t>
  </si>
  <si>
    <t>發票抬頭</t>
  </si>
  <si>
    <t>發票寄送地址</t>
  </si>
  <si>
    <t>付款方式</t>
  </si>
  <si>
    <t>出貨日期</t>
  </si>
  <si>
    <t>物流查件單號</t>
  </si>
  <si>
    <t>買家取貨門市店號</t>
  </si>
  <si>
    <t>買家取貨門市名稱</t>
  </si>
  <si>
    <t>訂單狀態</t>
  </si>
  <si>
    <t>付款狀態</t>
  </si>
  <si>
    <t>多退少補</t>
  </si>
  <si>
    <t>出貨狀態</t>
  </si>
  <si>
    <t>平台</t>
    <phoneticPr fontId="2" type="noConversion"/>
  </si>
  <si>
    <t>A9</t>
    <phoneticPr fontId="2" type="noConversion"/>
  </si>
  <si>
    <t>食品獨立罐裝200G</t>
    <phoneticPr fontId="2" type="noConversion"/>
  </si>
  <si>
    <t>滿額運費折抵</t>
    <phoneticPr fontId="2" type="noConversion"/>
  </si>
  <si>
    <t>入庫品名</t>
    <phoneticPr fontId="2" type="noConversion"/>
  </si>
  <si>
    <t>&lt;=======&gt;</t>
    <phoneticPr fontId="2" type="noConversion"/>
  </si>
  <si>
    <t>折扣</t>
    <phoneticPr fontId="2" type="noConversion"/>
  </si>
  <si>
    <t>手續費</t>
    <phoneticPr fontId="2" type="noConversion"/>
  </si>
  <si>
    <t>資料更新狀態</t>
    <phoneticPr fontId="2" type="noConversion"/>
  </si>
  <si>
    <t>新增資料筆數</t>
    <phoneticPr fontId="2" type="noConversion"/>
  </si>
  <si>
    <t>與原始資料重複筆數</t>
    <phoneticPr fontId="2" type="noConversion"/>
  </si>
  <si>
    <t>增加項目數量</t>
    <phoneticPr fontId="2" type="noConversion"/>
  </si>
  <si>
    <t>貨號</t>
    <phoneticPr fontId="2" type="noConversion"/>
  </si>
  <si>
    <t>未配對數量</t>
    <phoneticPr fontId="2" type="noConversion"/>
  </si>
  <si>
    <t>訂單編號</t>
    <phoneticPr fontId="2" type="noConversion"/>
  </si>
  <si>
    <r>
      <t xml:space="preserve">Orders </t>
    </r>
    <r>
      <rPr>
        <b/>
        <sz val="12"/>
        <color indexed="9"/>
        <rFont val="微軟正黑體"/>
        <family val="2"/>
        <charset val="136"/>
      </rPr>
      <t>品名</t>
    </r>
    <phoneticPr fontId="2" type="noConversion"/>
  </si>
  <si>
    <t>A1</t>
    <phoneticPr fontId="2" type="noConversion"/>
  </si>
  <si>
    <t>出貨人</t>
    <phoneticPr fontId="2" type="noConversion"/>
  </si>
  <si>
    <t>件數</t>
    <phoneticPr fontId="2" type="noConversion"/>
  </si>
  <si>
    <t>雅虎</t>
    <phoneticPr fontId="2" type="noConversion"/>
  </si>
  <si>
    <t>折扣</t>
    <phoneticPr fontId="2" type="noConversion"/>
  </si>
  <si>
    <t>滿額</t>
    <phoneticPr fontId="2" type="noConversion"/>
  </si>
  <si>
    <t>蝦皮</t>
    <phoneticPr fontId="2" type="noConversion"/>
  </si>
  <si>
    <t>露天</t>
    <phoneticPr fontId="2" type="noConversion"/>
  </si>
  <si>
    <t>商品名稱</t>
    <phoneticPr fontId="2" type="noConversion"/>
  </si>
  <si>
    <t>貨號</t>
    <phoneticPr fontId="2" type="noConversion"/>
  </si>
  <si>
    <t>女生冰絲打底褲[紅色M]</t>
  </si>
  <si>
    <t>女生冰絲打底褲[紅色L]</t>
  </si>
  <si>
    <t>女生冰絲打底褲[黑色M]</t>
  </si>
  <si>
    <t>女生冰絲打底褲[黑色L]</t>
  </si>
  <si>
    <t>女生冰絲打底褲[粉色M]</t>
  </si>
  <si>
    <t>女生冰絲打底褲[粉色L]</t>
  </si>
  <si>
    <t>女生冰絲打底褲[藍色M]</t>
  </si>
  <si>
    <t>女生冰絲打底褲[藍色L]</t>
  </si>
  <si>
    <t>女生冰絲打底褲[膚色M]</t>
  </si>
  <si>
    <t>女生冰絲打底褲[膚色L]</t>
  </si>
  <si>
    <t>男生冰絲打底褲[藏藍色XL]</t>
  </si>
  <si>
    <t>男生冰絲打底褲[寶藍色XL]</t>
  </si>
  <si>
    <t>食品獨立罐裝200G[原味]</t>
  </si>
  <si>
    <t>食品獨立罐裝200G[老薑]</t>
  </si>
  <si>
    <t>男女情侶短襪[愛心]</t>
  </si>
  <si>
    <t>男女情侶短襪[星星]</t>
  </si>
  <si>
    <t>男女情侶短襪[動物]</t>
  </si>
  <si>
    <t>印花短褲-均碼[紅色]</t>
  </si>
  <si>
    <t>印花短褲-均碼[藍色]</t>
  </si>
  <si>
    <t>印花短褲-均碼[黑色]</t>
  </si>
  <si>
    <t>印花短褲-均碼[粉色]</t>
  </si>
  <si>
    <t>印花短褲-加大碼[紅色]</t>
  </si>
  <si>
    <t>印花短褲-加大碼[藍色]</t>
  </si>
  <si>
    <t>印花短褲-加大碼[黑色]</t>
  </si>
  <si>
    <t>印花短褲-加大碼[粉色]</t>
  </si>
  <si>
    <t>單入食品[原味]</t>
  </si>
  <si>
    <t>單入食品[老薑]</t>
  </si>
  <si>
    <t>女生刺繡隱形襪[粉色]</t>
  </si>
  <si>
    <t>女生刺繡隱形襪[藍色]</t>
  </si>
  <si>
    <t>女生刺繡隱形襪[黑色]</t>
  </si>
  <si>
    <t>女生刺繡隱形襪[紅色]</t>
  </si>
  <si>
    <t>女生刺繡隱形襪[黃色]</t>
  </si>
  <si>
    <t>女生刺繡隱形襪[綠色]</t>
  </si>
  <si>
    <t>女生刺繡隱形襪[橘色]</t>
  </si>
  <si>
    <t>女生上衣裙[黑色M]</t>
  </si>
  <si>
    <t>女生上衣裙[白色M]</t>
  </si>
  <si>
    <t>女生上衣裙[灰色M]</t>
  </si>
  <si>
    <t>女生上衣裙[黑色L]</t>
  </si>
  <si>
    <t>女生上衣裙[白色L]</t>
  </si>
  <si>
    <t>女生上衣裙[灰色L]</t>
  </si>
  <si>
    <t>女生植物纖維打底褲[藍色L]</t>
  </si>
  <si>
    <t>女生植物纖維打底褲[灰色L]</t>
  </si>
  <si>
    <t>女生植物纖維打底褲[黑色L]</t>
  </si>
  <si>
    <t>女生冰絲打底褲[白色L]</t>
  </si>
  <si>
    <t>A1</t>
  </si>
  <si>
    <t>A2</t>
  </si>
  <si>
    <t>A9</t>
  </si>
  <si>
    <t>A3</t>
  </si>
  <si>
    <t>A4</t>
  </si>
  <si>
    <t>A4-1</t>
  </si>
  <si>
    <t>A5</t>
  </si>
  <si>
    <t>A6</t>
  </si>
  <si>
    <t>A7</t>
  </si>
  <si>
    <t>A8</t>
  </si>
  <si>
    <t>A</t>
  </si>
  <si>
    <t>B</t>
  </si>
  <si>
    <t>台灣現貨冰絲男生打底[藏藍色,XL]</t>
  </si>
  <si>
    <t>台灣現貨冰絲男生打底[寶藍色,XL]</t>
  </si>
  <si>
    <t>涼爽親膚女生上衣裙[黑色M]</t>
  </si>
  <si>
    <t>涼爽親膚女生上衣裙[灰色M]</t>
  </si>
  <si>
    <t>涼爽親膚女生上衣裙[白色M]</t>
  </si>
  <si>
    <t>涼爽親膚女生上衣裙[黑色L]</t>
  </si>
  <si>
    <t>好吃食品簡包[原味]</t>
  </si>
  <si>
    <t>好吃食品簡包[老薑]</t>
  </si>
  <si>
    <t>台灣現貨冰絲打底褲[藍色M]</t>
  </si>
  <si>
    <t>台灣現貨冰絲打底褲[黑色M]</t>
  </si>
  <si>
    <t>台灣現貨冰絲打底褲[紅色M]</t>
  </si>
  <si>
    <t>台灣現貨親膚花樣可愛短褲[紅色,加大碼]</t>
  </si>
  <si>
    <t>台灣現貨親膚花樣可愛短褲[紅色,均碼]</t>
  </si>
  <si>
    <t>台灣現貨親膚花樣可愛短褲[藍色,加大碼]</t>
  </si>
  <si>
    <t>台灣現貨親膚花樣可愛短褲[藍色,均碼]</t>
  </si>
  <si>
    <t>台灣現貨親膚花樣可愛短褲[黑色,加大碼]</t>
  </si>
  <si>
    <t>台灣現貨親膚花樣可愛短褲[粉色,加大碼]</t>
  </si>
  <si>
    <t>熱銷款植物纖維打底褲[藍色,Ｌ 👉請參考右上 Size Chart]</t>
  </si>
  <si>
    <t>熱銷款植物纖維打底褲[灰色,Ｌ 👉請參考右上 Size Chart]</t>
  </si>
  <si>
    <t>台灣現貨冰絲打底褲[白色,L]</t>
  </si>
  <si>
    <t>台灣現貨冰絲打底褲[膚色,L]</t>
  </si>
  <si>
    <t>台灣現貨冰絲打底褲[膚色,M]</t>
  </si>
  <si>
    <t>台灣現貨冰絲打底褲[粉色,L]</t>
  </si>
  <si>
    <t>台灣現貨冰絲打底褲[紅色,M]</t>
  </si>
  <si>
    <t>台灣現貨冰絲打底褲[黑色,M]</t>
  </si>
  <si>
    <t>台灣現貨冰絲打底褲[紅色,L]</t>
  </si>
  <si>
    <t>台灣現貨冰絲打底褲[藍色,L]</t>
  </si>
  <si>
    <t>台灣現貨冰絲打底褲[藍色,M]</t>
  </si>
  <si>
    <t>刺繡可愛女生隱形襪[粉色]</t>
  </si>
  <si>
    <t>刺繡可愛女生隱形襪[藍色]</t>
  </si>
  <si>
    <t>刺繡可愛女生隱形襪[黑色]</t>
  </si>
  <si>
    <t>熱銷款植物纖維打底褲[黑色,Ｌ👉請參考右上 Size Chart]</t>
  </si>
  <si>
    <t>台灣現貨情侶短襪[愛心]</t>
  </si>
  <si>
    <t>台灣現貨情侶短襪[星星]</t>
  </si>
  <si>
    <t>台灣現貨情侶短襪[動物]</t>
  </si>
  <si>
    <t>刺繡可愛女生隱形襪[紅色]</t>
  </si>
  <si>
    <t>刺繡可愛女生隱形襪[黃色]</t>
  </si>
  <si>
    <t>刺繡可愛女生隱形襪[綠色]</t>
  </si>
  <si>
    <t>刺繡可愛女生隱形襪[橘色]</t>
  </si>
  <si>
    <t>蝦皮</t>
  </si>
  <si>
    <t>滿件現折！現貨推薦！台灣出貨！男生冰絲打底褲[顏色,藏藍,尺寸,XL 》建議60-70KG]</t>
  </si>
  <si>
    <t>滿件現折！現貨推薦！台灣出貨！男生冰絲打底褲[顏色,寶藍,尺寸,XL 》建議60-70KG]</t>
  </si>
  <si>
    <t>強力推薦！台灣好吃食品罐裝[口味,老薑,容量,200g罐裝]</t>
  </si>
  <si>
    <t>獨家！台灣現貨女生冰絲打底褲[顏色,紅色,尺寸,M]</t>
  </si>
  <si>
    <t>獨家！台灣現貨女生冰絲打底褲[顏色,紅色,尺寸,L]</t>
  </si>
  <si>
    <t>獨家！台灣現貨女生冰絲打底褲[顏色,粉色,尺寸,L]</t>
  </si>
  <si>
    <t>獨家！台灣現貨女生冰絲打底褲[顏色,黑色,尺寸,L 》建議50-60KG]</t>
  </si>
  <si>
    <t>強力推薦！台灣好吃食品罐裝[口味,原味,容量,200g罐裝]</t>
  </si>
  <si>
    <t>雅虎</t>
  </si>
  <si>
    <t>買10送1！現貨推薦！台灣出貨！男生冰絲打底褲[寶藍,XL 👉建議80-90KG適穿]</t>
  </si>
  <si>
    <t>買10送1！現貨推薦！台灣出貨！男生冰絲打底褲[藏藍,XL 👉建議80-90KG適穿]</t>
  </si>
  <si>
    <t>買10送1！現貨植物纖維打底褲 女生[黑色,L]</t>
  </si>
  <si>
    <t>超可愛男襪女襪 情侶短襪 台灣製[愛心,均碼👉35-39碼適穿]</t>
  </si>
  <si>
    <t>獨家高品質！台灣現貨女生冰絲打底褲[粉色,L]</t>
  </si>
  <si>
    <t>獨家高品質！台灣現貨女生冰絲打底褲[粉色,M]</t>
  </si>
  <si>
    <t>獨家高品質！台灣現貨女生冰絲打底褲[紅色,L]</t>
  </si>
  <si>
    <t>獨家高品質！台灣現貨女生冰絲打底褲[藍色,L]</t>
  </si>
  <si>
    <t>獨家高品質！台灣現貨女生冰絲打底褲[膚色,L]</t>
  </si>
  <si>
    <t>獨家高品質！台灣現貨女生冰絲打底褲[黑色,L]</t>
  </si>
  <si>
    <t>強力推薦！台灣好吃食品罐裝[200g桶裝,老薑]</t>
  </si>
  <si>
    <t>Wii[CCC,DDD]</t>
  </si>
  <si>
    <t>露天</t>
  </si>
  <si>
    <t>女生上衣裙[黑色M]</t>
    <phoneticPr fontId="2" type="noConversion"/>
  </si>
  <si>
    <t>女生上衣裙[灰色M]</t>
    <phoneticPr fontId="2" type="noConversion"/>
  </si>
  <si>
    <t>女生上衣裙[白色M]</t>
    <phoneticPr fontId="2" type="noConversion"/>
  </si>
  <si>
    <t>女生上衣裙[黑色L]</t>
    <phoneticPr fontId="2" type="noConversion"/>
  </si>
  <si>
    <t>單入食品[原味]</t>
    <phoneticPr fontId="2" type="noConversion"/>
  </si>
  <si>
    <t>單入食品[老薑]</t>
    <phoneticPr fontId="2" type="noConversion"/>
  </si>
  <si>
    <t>女生冰絲打底褲[藍色M]</t>
    <phoneticPr fontId="2" type="noConversion"/>
  </si>
  <si>
    <t>女生冰絲打底褲[黑色M]</t>
    <phoneticPr fontId="2" type="noConversion"/>
  </si>
  <si>
    <t>女生冰絲打底褲[紅色M]</t>
    <phoneticPr fontId="2" type="noConversion"/>
  </si>
  <si>
    <t>印花短褲-加大碼[紅色]</t>
    <phoneticPr fontId="2" type="noConversion"/>
  </si>
  <si>
    <t>印花短褲-均碼[紅色]</t>
    <phoneticPr fontId="2" type="noConversion"/>
  </si>
  <si>
    <t>印花短褲-加大碼[藍色]</t>
    <phoneticPr fontId="2" type="noConversion"/>
  </si>
  <si>
    <t>印花短褲-均碼[藍色]</t>
    <phoneticPr fontId="2" type="noConversion"/>
  </si>
  <si>
    <t>印花短褲-加大碼[黑色]</t>
    <phoneticPr fontId="2" type="noConversion"/>
  </si>
  <si>
    <t>印花短褲-加大碼[粉色]</t>
    <phoneticPr fontId="2" type="noConversion"/>
  </si>
  <si>
    <t>女生植物纖維打底褲[藍色L]</t>
    <phoneticPr fontId="2" type="noConversion"/>
  </si>
  <si>
    <t>女生植物纖維打底褲[灰色L]</t>
    <phoneticPr fontId="2" type="noConversion"/>
  </si>
  <si>
    <t>女生冰絲打底褲[膚色L]</t>
    <phoneticPr fontId="2" type="noConversion"/>
  </si>
  <si>
    <t>女生冰絲打底褲[膚色M]</t>
    <phoneticPr fontId="2" type="noConversion"/>
  </si>
  <si>
    <t>TBD</t>
  </si>
  <si>
    <t>A2</t>
    <phoneticPr fontId="2" type="noConversion"/>
  </si>
  <si>
    <t>A4</t>
    <phoneticPr fontId="2" type="noConversion"/>
  </si>
  <si>
    <t>A3</t>
    <phoneticPr fontId="2" type="noConversion"/>
  </si>
  <si>
    <t>平均成本(庫存明細)</t>
    <phoneticPr fontId="2" type="noConversion"/>
  </si>
  <si>
    <t>平均成本(日報表)</t>
    <phoneticPr fontId="2" type="noConversion"/>
  </si>
  <si>
    <t>A</t>
    <phoneticPr fontId="2" type="noConversion"/>
  </si>
  <si>
    <t>男生冰絲打底褲</t>
  </si>
  <si>
    <t>藏藍色XL</t>
  </si>
  <si>
    <t>寶藍色XL</t>
  </si>
  <si>
    <t>女生上衣裙</t>
  </si>
  <si>
    <t>白色M</t>
  </si>
  <si>
    <t>灰色M</t>
  </si>
  <si>
    <t>黑色L</t>
  </si>
  <si>
    <t>單入食品</t>
  </si>
  <si>
    <t>原味</t>
  </si>
  <si>
    <t>老薑</t>
  </si>
  <si>
    <t>女生冰絲打底褲</t>
  </si>
  <si>
    <t>藍色M</t>
  </si>
  <si>
    <t>黑色M</t>
  </si>
  <si>
    <t>紅色M</t>
  </si>
  <si>
    <t>印花短褲-加大碼</t>
  </si>
  <si>
    <t>印花短褲-均碼</t>
  </si>
  <si>
    <t>粉色L</t>
  </si>
  <si>
    <t>紅色L</t>
  </si>
  <si>
    <t>藍色L</t>
  </si>
  <si>
    <t>膚色L</t>
  </si>
  <si>
    <t>膚色M</t>
  </si>
  <si>
    <t>女生刺繡隱形襪</t>
  </si>
  <si>
    <t>女生植物纖維打底褲</t>
  </si>
  <si>
    <t>男女情侶短襪</t>
  </si>
  <si>
    <t>愛心</t>
  </si>
  <si>
    <t>星星</t>
  </si>
  <si>
    <t>動物</t>
  </si>
  <si>
    <t>食品獨立罐裝200G</t>
  </si>
  <si>
    <t>粉色M</t>
  </si>
  <si>
    <t>白色L</t>
  </si>
  <si>
    <t>灰色L</t>
  </si>
  <si>
    <t>熱銷款植物纖維打底褲💆‍♀[灰色,Ｌ 👉請參考右上 Size Chart]</t>
  </si>
  <si>
    <t>熱銷款植物纖維打底褲~[藍色,Ｌ 👉請參考右上 Size Chart]</t>
  </si>
  <si>
    <t>201101S2HNXA8E</t>
  </si>
  <si>
    <t>完成</t>
  </si>
  <si>
    <t>d***8</t>
    <phoneticPr fontId="2" type="noConversion"/>
  </si>
  <si>
    <t>2020-11-01 00:42</t>
  </si>
  <si>
    <t>138.00</t>
  </si>
  <si>
    <t>0.00</t>
  </si>
  <si>
    <t>120.00</t>
  </si>
  <si>
    <t>SPV373;FSV-61976788</t>
  </si>
  <si>
    <t>4.00</t>
  </si>
  <si>
    <t>7.00</t>
  </si>
  <si>
    <t>1.00</t>
  </si>
  <si>
    <t>1.00%</t>
  </si>
  <si>
    <t>台灣現貨冰絲男生打底</t>
    <phoneticPr fontId="2" type="noConversion"/>
  </si>
  <si>
    <r>
      <rPr>
        <sz val="10"/>
        <rFont val="細明體"/>
        <family val="3"/>
        <charset val="136"/>
      </rPr>
      <t>藏藍色</t>
    </r>
    <r>
      <rPr>
        <sz val="10"/>
        <rFont val="Arial"/>
        <family val="2"/>
      </rPr>
      <t>,XL</t>
    </r>
    <phoneticPr fontId="2" type="noConversion"/>
  </si>
  <si>
    <t>69.00</t>
  </si>
  <si>
    <t>N</t>
  </si>
  <si>
    <t>草屯******************************77</t>
  </si>
  <si>
    <t>88********08</t>
  </si>
  <si>
    <t>K000177</t>
  </si>
  <si>
    <t>南投投縣</t>
  </si>
  <si>
    <t>黃*福</t>
  </si>
  <si>
    <t>OK Mart</t>
  </si>
  <si>
    <t>寄件</t>
  </si>
  <si>
    <t>貨到付款</t>
  </si>
  <si>
    <t>2020-11-04 00:42</t>
  </si>
  <si>
    <t>50779536298</t>
  </si>
  <si>
    <t>2020-11-03 00:01</t>
  </si>
  <si>
    <t>2020-11-04 20:02</t>
  </si>
  <si>
    <r>
      <rPr>
        <sz val="10"/>
        <rFont val="細明體"/>
        <family val="3"/>
        <charset val="136"/>
      </rPr>
      <t>寶藍色</t>
    </r>
    <r>
      <rPr>
        <sz val="10"/>
        <rFont val="Arial"/>
        <family val="2"/>
      </rPr>
      <t>,XL</t>
    </r>
    <phoneticPr fontId="2" type="noConversion"/>
  </si>
  <si>
    <t>201101S9MN02X4</t>
    <phoneticPr fontId="2" type="noConversion"/>
  </si>
  <si>
    <t>已取消</t>
  </si>
  <si>
    <t>被買家取消，原因 : 修改訂單內容</t>
  </si>
  <si>
    <t>a***4</t>
    <phoneticPr fontId="2" type="noConversion"/>
  </si>
  <si>
    <t>2020-11-01 02:49</t>
  </si>
  <si>
    <t>236.00</t>
  </si>
  <si>
    <t>211.00</t>
  </si>
  <si>
    <t>FSV-61976788</t>
  </si>
  <si>
    <t>12.00</t>
  </si>
  <si>
    <t>2.00</t>
  </si>
  <si>
    <t>涼爽親膚女生上衣裙</t>
    <phoneticPr fontId="2" type="noConversion"/>
  </si>
  <si>
    <t>黑色M</t>
    <phoneticPr fontId="2" type="noConversion"/>
  </si>
  <si>
    <t>150.00</t>
  </si>
  <si>
    <t>118.00</t>
  </si>
  <si>
    <t>屏東*********************************11</t>
  </si>
  <si>
    <t>88********34</t>
  </si>
  <si>
    <t>K000511</t>
  </si>
  <si>
    <t>屏東東縣</t>
  </si>
  <si>
    <t>施*文</t>
  </si>
  <si>
    <t>2020-11-04 02:49</t>
  </si>
  <si>
    <t>201101S9MN02X4</t>
  </si>
  <si>
    <t>201101SXYEXU8A</t>
  </si>
  <si>
    <t>h***y</t>
    <phoneticPr fontId="2" type="noConversion"/>
  </si>
  <si>
    <t>2020-11-01 09:11</t>
  </si>
  <si>
    <t>319.00</t>
  </si>
  <si>
    <t>60.00</t>
  </si>
  <si>
    <t>379.00</t>
  </si>
  <si>
    <t>10.00</t>
  </si>
  <si>
    <t>16.00</t>
  </si>
  <si>
    <t>白色M</t>
    <phoneticPr fontId="2" type="noConversion"/>
  </si>
  <si>
    <t>Y</t>
  </si>
  <si>
    <r>
      <t xml:space="preserve">[1] 3 </t>
    </r>
    <r>
      <rPr>
        <sz val="10"/>
        <rFont val="細明體"/>
        <family val="3"/>
        <charset val="136"/>
      </rPr>
      <t>件</t>
    </r>
    <r>
      <rPr>
        <sz val="10"/>
        <rFont val="Arial"/>
        <family val="2"/>
      </rPr>
      <t xml:space="preserve"> 9</t>
    </r>
    <r>
      <rPr>
        <sz val="10"/>
        <rFont val="細明體"/>
        <family val="3"/>
        <charset val="136"/>
      </rPr>
      <t>折</t>
    </r>
    <phoneticPr fontId="2" type="noConversion"/>
  </si>
  <si>
    <t>全家*****************************87</t>
  </si>
  <si>
    <t>88********80</t>
  </si>
  <si>
    <t>F004687</t>
  </si>
  <si>
    <t>林*萍</t>
  </si>
  <si>
    <t>全家</t>
  </si>
  <si>
    <t>2020-11-04 09:11</t>
  </si>
  <si>
    <t>00925294877</t>
  </si>
  <si>
    <t>2020-11-02 22:39</t>
  </si>
  <si>
    <t>2020-11-06 04:05</t>
  </si>
  <si>
    <r>
      <rPr>
        <sz val="10"/>
        <rFont val="細明體"/>
        <family val="3"/>
        <charset val="136"/>
      </rPr>
      <t>灰色</t>
    </r>
    <r>
      <rPr>
        <sz val="10"/>
        <rFont val="Arial"/>
        <family val="2"/>
      </rPr>
      <t>M</t>
    </r>
    <phoneticPr fontId="2" type="noConversion"/>
  </si>
  <si>
    <t>[1] 3 件 9折</t>
  </si>
  <si>
    <t>201101TD36HWJE</t>
  </si>
  <si>
    <t>y***2</t>
    <phoneticPr fontId="2" type="noConversion"/>
  </si>
  <si>
    <t>2020-11-01 13:23</t>
  </si>
  <si>
    <t>438.00</t>
  </si>
  <si>
    <t>435.00</t>
  </si>
  <si>
    <t>SFP-60802750;FSV-61976957</t>
  </si>
  <si>
    <t>3.00</t>
  </si>
  <si>
    <t>11.00</t>
  </si>
  <si>
    <t>22.00</t>
  </si>
  <si>
    <t>好吃食品簡包</t>
    <phoneticPr fontId="2" type="noConversion"/>
  </si>
  <si>
    <r>
      <t xml:space="preserve">[1] 20 </t>
    </r>
    <r>
      <rPr>
        <sz val="10"/>
        <rFont val="細明體"/>
        <family val="3"/>
        <charset val="136"/>
      </rPr>
      <t>件</t>
    </r>
    <r>
      <rPr>
        <sz val="10"/>
        <rFont val="Arial"/>
        <family val="2"/>
      </rPr>
      <t xml:space="preserve"> 9</t>
    </r>
    <r>
      <rPr>
        <sz val="10"/>
        <rFont val="細明體"/>
        <family val="3"/>
        <charset val="136"/>
      </rPr>
      <t>折</t>
    </r>
    <phoneticPr fontId="2" type="noConversion"/>
  </si>
  <si>
    <t>台南*********************************27</t>
  </si>
  <si>
    <t>88********01</t>
  </si>
  <si>
    <t>K000827</t>
  </si>
  <si>
    <t>台南南市</t>
  </si>
  <si>
    <t>劉*瑋</t>
  </si>
  <si>
    <t>2020-11-04 13:23</t>
  </si>
  <si>
    <t>46454113203</t>
  </si>
  <si>
    <t>2020-11-08 04:11</t>
  </si>
  <si>
    <t>[1] 20 件 9折</t>
  </si>
  <si>
    <t>台灣現貨冰絲打底褲</t>
    <phoneticPr fontId="2" type="noConversion"/>
  </si>
  <si>
    <t>藍色M</t>
    <phoneticPr fontId="2" type="noConversion"/>
  </si>
  <si>
    <t>43.00</t>
  </si>
  <si>
    <t>2011020RB8S4S8</t>
  </si>
  <si>
    <r>
      <t>h</t>
    </r>
    <r>
      <rPr>
        <sz val="10"/>
        <rFont val="Arial"/>
        <family val="2"/>
      </rPr>
      <t>***</t>
    </r>
    <r>
      <rPr>
        <sz val="10"/>
        <rFont val="Arial"/>
        <family val="2"/>
      </rPr>
      <t>h</t>
    </r>
    <phoneticPr fontId="2" type="noConversion"/>
  </si>
  <si>
    <t>2020-11-02 22:22</t>
  </si>
  <si>
    <t>432.00</t>
  </si>
  <si>
    <t>429.00</t>
  </si>
  <si>
    <t>SFP-60802750;FSV-61976788</t>
  </si>
  <si>
    <t>13.00</t>
  </si>
  <si>
    <t>21.00</t>
  </si>
  <si>
    <t>台灣現貨親膚花樣可愛短褲</t>
    <phoneticPr fontId="2" type="noConversion"/>
  </si>
  <si>
    <t>紅色,加大碼</t>
    <phoneticPr fontId="2" type="noConversion"/>
  </si>
  <si>
    <t>55.00</t>
  </si>
  <si>
    <t>49.00</t>
  </si>
  <si>
    <t>萊爾*******************************70</t>
  </si>
  <si>
    <t>88********56</t>
  </si>
  <si>
    <t>3770</t>
  </si>
  <si>
    <t>黎*蓮</t>
  </si>
  <si>
    <t>萊爾富</t>
  </si>
  <si>
    <t>2020-11-05 22:22</t>
  </si>
  <si>
    <t>0R3G27280037</t>
  </si>
  <si>
    <t>2020-11-04 22:32</t>
  </si>
  <si>
    <t>2020-11-09 04:02</t>
  </si>
  <si>
    <r>
      <rPr>
        <sz val="10"/>
        <rFont val="細明體"/>
        <family val="3"/>
        <charset val="136"/>
      </rPr>
      <t>紅色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均碼</t>
    </r>
    <phoneticPr fontId="2" type="noConversion"/>
  </si>
  <si>
    <t>藍色,加大碼</t>
    <phoneticPr fontId="2" type="noConversion"/>
  </si>
  <si>
    <r>
      <rPr>
        <sz val="10"/>
        <rFont val="細明體"/>
        <family val="3"/>
        <charset val="136"/>
      </rPr>
      <t>藍色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均碼</t>
    </r>
    <phoneticPr fontId="2" type="noConversion"/>
  </si>
  <si>
    <t>黑色,加大碼</t>
    <phoneticPr fontId="2" type="noConversion"/>
  </si>
  <si>
    <t>粉色,加大碼</t>
    <phoneticPr fontId="2" type="noConversion"/>
  </si>
  <si>
    <t>台灣現貨冰絲男生打底</t>
  </si>
  <si>
    <t>藏藍色,XL</t>
  </si>
  <si>
    <t>寶藍色,XL</t>
  </si>
  <si>
    <t>201111N2YXDG58</t>
  </si>
  <si>
    <t>已同意申請</t>
  </si>
  <si>
    <t>y***3</t>
    <phoneticPr fontId="2" type="noConversion"/>
  </si>
  <si>
    <t>2020-11-11 00:26</t>
  </si>
  <si>
    <t>183.00</t>
  </si>
  <si>
    <t>146.00</t>
  </si>
  <si>
    <t>FSV-61990370</t>
  </si>
  <si>
    <t>熱銷款植物纖維打底褲</t>
    <phoneticPr fontId="2" type="noConversion"/>
  </si>
  <si>
    <t>藍色,Ｌ 👉請參考右上 Size Chart</t>
  </si>
  <si>
    <t>39.00</t>
  </si>
  <si>
    <t>36.00</t>
  </si>
  <si>
    <t>全家*******************************88</t>
  </si>
  <si>
    <t>88********70</t>
  </si>
  <si>
    <t>F019088</t>
  </si>
  <si>
    <t>林*妏</t>
  </si>
  <si>
    <t>2020-11-16 00:26</t>
  </si>
  <si>
    <t>00928388193</t>
  </si>
  <si>
    <t>2020-11-12 01:15</t>
  </si>
  <si>
    <t>2020-11-13 22:43</t>
  </si>
  <si>
    <t>灰色,Ｌ 👉請參考右上 Size Chart</t>
  </si>
  <si>
    <t>台灣現貨冰絲打底褲</t>
  </si>
  <si>
    <t>白色,L</t>
  </si>
  <si>
    <t>37.00</t>
  </si>
  <si>
    <t>膚色,L</t>
  </si>
  <si>
    <t>膚色,M</t>
  </si>
  <si>
    <t>201111Q90U680A</t>
  </si>
  <si>
    <t>s***0</t>
    <phoneticPr fontId="2" type="noConversion"/>
  </si>
  <si>
    <t>2020-11-11 21:19</t>
  </si>
  <si>
    <t>520.00</t>
  </si>
  <si>
    <t>26.00</t>
  </si>
  <si>
    <t>5.00</t>
  </si>
  <si>
    <r>
      <rPr>
        <sz val="10"/>
        <rFont val="細明體"/>
        <family val="3"/>
        <charset val="136"/>
      </rPr>
      <t>粉色</t>
    </r>
    <r>
      <rPr>
        <sz val="10"/>
        <rFont val="Arial"/>
        <family val="2"/>
      </rPr>
      <t>,L</t>
    </r>
    <phoneticPr fontId="2" type="noConversion"/>
  </si>
  <si>
    <t>[1] 10 件折 $30_x000D_
[2] 5 件折 $15</t>
  </si>
  <si>
    <t>萊爾***********************************92</t>
  </si>
  <si>
    <t>88********49</t>
  </si>
  <si>
    <t>4592</t>
  </si>
  <si>
    <t>姜*君</t>
  </si>
  <si>
    <t>2020-11-16 21:19</t>
  </si>
  <si>
    <t>0RCE51167638</t>
  </si>
  <si>
    <t>2020-11-13 01:11</t>
  </si>
  <si>
    <t>2020-11-17 04:03</t>
  </si>
  <si>
    <r>
      <rPr>
        <sz val="10"/>
        <rFont val="細明體"/>
        <family val="3"/>
        <charset val="136"/>
      </rPr>
      <t>紅色</t>
    </r>
    <r>
      <rPr>
        <sz val="10"/>
        <rFont val="Arial"/>
        <family val="2"/>
      </rPr>
      <t>,M</t>
    </r>
    <phoneticPr fontId="2" type="noConversion"/>
  </si>
  <si>
    <t>黑色,M</t>
  </si>
  <si>
    <r>
      <rPr>
        <sz val="10"/>
        <rFont val="細明體"/>
        <family val="3"/>
        <charset val="136"/>
      </rPr>
      <t>紅色</t>
    </r>
    <r>
      <rPr>
        <sz val="10"/>
        <rFont val="Arial"/>
        <family val="2"/>
      </rPr>
      <t>,L</t>
    </r>
    <phoneticPr fontId="2" type="noConversion"/>
  </si>
  <si>
    <r>
      <rPr>
        <sz val="10"/>
        <rFont val="細明體"/>
        <family val="3"/>
        <charset val="136"/>
      </rPr>
      <t>藍色</t>
    </r>
    <r>
      <rPr>
        <sz val="10"/>
        <rFont val="Arial"/>
        <family val="2"/>
      </rPr>
      <t>,L</t>
    </r>
    <phoneticPr fontId="2" type="noConversion"/>
  </si>
  <si>
    <r>
      <rPr>
        <sz val="10"/>
        <rFont val="細明體"/>
        <family val="3"/>
        <charset val="136"/>
      </rPr>
      <t>藍色</t>
    </r>
    <r>
      <rPr>
        <sz val="10"/>
        <rFont val="Arial"/>
        <family val="2"/>
      </rPr>
      <t>,M</t>
    </r>
    <phoneticPr fontId="2" type="noConversion"/>
  </si>
  <si>
    <t>刺繡可愛女生隱形襪</t>
    <phoneticPr fontId="2" type="noConversion"/>
  </si>
  <si>
    <t>201127498AUQMJ</t>
  </si>
  <si>
    <t>a***8</t>
    <phoneticPr fontId="2" type="noConversion"/>
  </si>
  <si>
    <t>2020-11-27 11:36</t>
  </si>
  <si>
    <t>780.00</t>
  </si>
  <si>
    <t>765.00</t>
  </si>
  <si>
    <t>CHIE15;FSV-61976957</t>
  </si>
  <si>
    <t>15.00</t>
  </si>
  <si>
    <t>23.00</t>
  </si>
  <si>
    <t>38.00</t>
  </si>
  <si>
    <t>8.00</t>
  </si>
  <si>
    <r>
      <rPr>
        <sz val="10"/>
        <rFont val="細明體"/>
        <family val="3"/>
        <charset val="136"/>
      </rPr>
      <t>黑色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Ｌ</t>
    </r>
    <r>
      <rPr>
        <sz val="10"/>
        <rFont val="Arial"/>
        <family val="2"/>
      </rPr>
      <t>👉</t>
    </r>
    <r>
      <rPr>
        <sz val="10"/>
        <rFont val="細明體"/>
        <family val="3"/>
        <charset val="136"/>
      </rPr>
      <t>請參考右上</t>
    </r>
    <r>
      <rPr>
        <sz val="10"/>
        <rFont val="Arial"/>
        <family val="2"/>
      </rPr>
      <t xml:space="preserve"> Size Chart</t>
    </r>
    <phoneticPr fontId="2" type="noConversion"/>
  </si>
  <si>
    <t>新莊****************************69</t>
  </si>
  <si>
    <t>88********52</t>
  </si>
  <si>
    <t>K000069</t>
  </si>
  <si>
    <t>新北北市</t>
  </si>
  <si>
    <t>連*曼</t>
  </si>
  <si>
    <t>2020-12-02 11:36</t>
  </si>
  <si>
    <t>78750491556</t>
  </si>
  <si>
    <t>2020-11-28 02:00</t>
  </si>
  <si>
    <t>2020-12-05 04:12</t>
  </si>
  <si>
    <t>2011287KT8AS1V</t>
  </si>
  <si>
    <t>h***g</t>
    <phoneticPr fontId="2" type="noConversion"/>
  </si>
  <si>
    <t>2020-11-28 19:23</t>
  </si>
  <si>
    <t>757.00</t>
  </si>
  <si>
    <t>FSV-61976957</t>
  </si>
  <si>
    <t>20.00</t>
  </si>
  <si>
    <t>台灣現貨情侶短襪</t>
    <phoneticPr fontId="2" type="noConversion"/>
  </si>
  <si>
    <t>[1] 5 件折 $15_x000D_
[2] 5 件折 $15_x000D_
[3] 20 件 9折</t>
  </si>
  <si>
    <t>萊爾*******************************56</t>
  </si>
  <si>
    <t>88********62</t>
  </si>
  <si>
    <t>4556</t>
  </si>
  <si>
    <t>蕭*芳</t>
  </si>
  <si>
    <t>2020-12-02 19:23</t>
  </si>
  <si>
    <t>0RTB25359736</t>
  </si>
  <si>
    <t>2020-11-30 00:51</t>
  </si>
  <si>
    <t>2020-12-05 04:04</t>
  </si>
  <si>
    <t>黃色</t>
    <phoneticPr fontId="2" type="noConversion"/>
  </si>
  <si>
    <t>綠色</t>
    <phoneticPr fontId="2" type="noConversion"/>
  </si>
  <si>
    <t>橘色</t>
    <phoneticPr fontId="2" type="noConversion"/>
  </si>
  <si>
    <t>B135098849</t>
  </si>
  <si>
    <t>滿件現折！現貨推薦！台灣出貨！男生冰絲打底褲</t>
    <phoneticPr fontId="2" type="noConversion"/>
  </si>
  <si>
    <r>
      <rPr>
        <sz val="10"/>
        <rFont val="細明體"/>
        <family val="3"/>
        <charset val="136"/>
      </rPr>
      <t>顏色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藏藍</t>
    </r>
    <phoneticPr fontId="2" type="noConversion"/>
  </si>
  <si>
    <t>尺寸,XL 》建議60-70KG</t>
  </si>
  <si>
    <t>Y7776156216</t>
  </si>
  <si>
    <t>楊*森</t>
  </si>
  <si>
    <t>*******554</t>
  </si>
  <si>
    <t>輕鬆付全家取貨付款</t>
  </si>
  <si>
    <t>萊爾富取貨付款</t>
  </si>
  <si>
    <t>20S2M35240170</t>
  </si>
  <si>
    <t>蘆洲民華店</t>
  </si>
  <si>
    <t>有效</t>
  </si>
  <si>
    <t>已付款</t>
  </si>
  <si>
    <t>買家已取貨</t>
  </si>
  <si>
    <r>
      <rPr>
        <sz val="10"/>
        <rFont val="細明體"/>
        <family val="3"/>
        <charset val="136"/>
      </rPr>
      <t>顏色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寶藍</t>
    </r>
    <phoneticPr fontId="2" type="noConversion"/>
  </si>
  <si>
    <t>B135067976</t>
  </si>
  <si>
    <t>顏色,藏藍</t>
  </si>
  <si>
    <t>Y1121301251</t>
  </si>
  <si>
    <t>蔡*添</t>
  </si>
  <si>
    <t>*******126</t>
  </si>
  <si>
    <t>輕鬆付7-ELEVEN取貨付款</t>
  </si>
  <si>
    <t>7-ELEVEN取貨付款</t>
  </si>
  <si>
    <t>M64753428018</t>
  </si>
  <si>
    <t>星辰</t>
  </si>
  <si>
    <t>B135308622</t>
  </si>
  <si>
    <t>強力推薦！台灣好吃食品罐裝</t>
    <phoneticPr fontId="2" type="noConversion"/>
  </si>
  <si>
    <r>
      <rPr>
        <sz val="10"/>
        <rFont val="細明體"/>
        <family val="3"/>
        <charset val="136"/>
      </rPr>
      <t>口味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老薑</t>
    </r>
    <phoneticPr fontId="2" type="noConversion"/>
  </si>
  <si>
    <r>
      <rPr>
        <sz val="10"/>
        <rFont val="細明體"/>
        <family val="3"/>
        <charset val="136"/>
      </rPr>
      <t>容量</t>
    </r>
    <r>
      <rPr>
        <sz val="10"/>
        <rFont val="Arial"/>
        <family val="2"/>
      </rPr>
      <t>,200g</t>
    </r>
    <r>
      <rPr>
        <sz val="10"/>
        <rFont val="細明體"/>
        <family val="3"/>
        <charset val="136"/>
      </rPr>
      <t>罐裝</t>
    </r>
    <phoneticPr fontId="2" type="noConversion"/>
  </si>
  <si>
    <t>Y9508566857</t>
  </si>
  <si>
    <t>易*軒</t>
  </si>
  <si>
    <t>*******596</t>
  </si>
  <si>
    <t>全家取貨付款</t>
  </si>
  <si>
    <t>龜山龍壽店</t>
  </si>
  <si>
    <t>B134661758</t>
  </si>
  <si>
    <t>獨家！台灣現貨女生冰絲打底褲</t>
    <phoneticPr fontId="2" type="noConversion"/>
  </si>
  <si>
    <r>
      <rPr>
        <sz val="10"/>
        <rFont val="細明體"/>
        <family val="3"/>
        <charset val="136"/>
      </rPr>
      <t>顏色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紅色</t>
    </r>
    <phoneticPr fontId="2" type="noConversion"/>
  </si>
  <si>
    <r>
      <rPr>
        <sz val="10"/>
        <rFont val="細明體"/>
        <family val="3"/>
        <charset val="136"/>
      </rPr>
      <t>尺寸</t>
    </r>
    <r>
      <rPr>
        <sz val="10"/>
        <rFont val="Arial"/>
        <family val="2"/>
      </rPr>
      <t>,M</t>
    </r>
    <phoneticPr fontId="2" type="noConversion"/>
  </si>
  <si>
    <t>Y7525314613</t>
  </si>
  <si>
    <t>畇</t>
  </si>
  <si>
    <t>張*淇</t>
  </si>
  <si>
    <t>*******555</t>
  </si>
  <si>
    <t>20RFE52594704</t>
  </si>
  <si>
    <t>00C672</t>
  </si>
  <si>
    <t>北縣橋安店</t>
  </si>
  <si>
    <t>尺寸,L</t>
  </si>
  <si>
    <t>B134772926</t>
  </si>
  <si>
    <r>
      <rPr>
        <sz val="10"/>
        <rFont val="細明體"/>
        <family val="3"/>
        <charset val="136"/>
      </rPr>
      <t>顏色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粉色</t>
    </r>
    <phoneticPr fontId="2" type="noConversion"/>
  </si>
  <si>
    <t>Y6759718364</t>
  </si>
  <si>
    <t>Y67821082</t>
  </si>
  <si>
    <t>吳*城</t>
  </si>
  <si>
    <t>*******486</t>
  </si>
  <si>
    <t>輕鬆付萊爾富取貨付款</t>
  </si>
  <si>
    <t>20SC109348102</t>
  </si>
  <si>
    <t>0****4</t>
  </si>
  <si>
    <t>中****店</t>
  </si>
  <si>
    <t>尚未付款</t>
  </si>
  <si>
    <t>賣家已取退貨</t>
  </si>
  <si>
    <t>20RBH37341902</t>
  </si>
  <si>
    <t>00G961</t>
  </si>
  <si>
    <t>梓****店</t>
  </si>
  <si>
    <t>B133708900</t>
  </si>
  <si>
    <t>顏色,黑色</t>
  </si>
  <si>
    <t>尺寸,L 》建議50-60KG</t>
  </si>
  <si>
    <t>Y6332243654</t>
  </si>
  <si>
    <t>Ray</t>
  </si>
  <si>
    <t>程*騰</t>
  </si>
  <si>
    <t>*******336</t>
  </si>
  <si>
    <t>20R4H35525731</t>
  </si>
  <si>
    <t>太平澄清店</t>
  </si>
  <si>
    <r>
      <rPr>
        <sz val="10"/>
        <rFont val="細明體"/>
        <family val="3"/>
        <charset val="136"/>
      </rPr>
      <t>口味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原味</t>
    </r>
    <phoneticPr fontId="4" type="noConversion"/>
  </si>
  <si>
    <r>
      <rPr>
        <sz val="10"/>
        <rFont val="細明體"/>
        <family val="3"/>
        <charset val="136"/>
      </rPr>
      <t>買</t>
    </r>
    <r>
      <rPr>
        <sz val="10"/>
        <rFont val="Arial"/>
        <family val="2"/>
      </rPr>
      <t>10</t>
    </r>
    <r>
      <rPr>
        <sz val="10"/>
        <rFont val="細明體"/>
        <family val="3"/>
        <charset val="136"/>
      </rPr>
      <t>送</t>
    </r>
    <r>
      <rPr>
        <sz val="10"/>
        <rFont val="Arial"/>
        <family val="2"/>
      </rPr>
      <t>1</t>
    </r>
    <r>
      <rPr>
        <sz val="10"/>
        <rFont val="細明體"/>
        <family val="3"/>
        <charset val="136"/>
      </rPr>
      <t>！現貨推薦！台灣出貨！男生冰絲打底褲</t>
    </r>
    <phoneticPr fontId="2" type="noConversion"/>
  </si>
  <si>
    <t>寶藍</t>
  </si>
  <si>
    <r>
      <t>XL 👉</t>
    </r>
    <r>
      <rPr>
        <sz val="10"/>
        <rFont val="細明體"/>
        <family val="3"/>
        <charset val="136"/>
      </rPr>
      <t>建議</t>
    </r>
    <r>
      <rPr>
        <sz val="10"/>
        <rFont val="Arial"/>
        <family val="2"/>
      </rPr>
      <t>80-90KG</t>
    </r>
    <r>
      <rPr>
        <sz val="10"/>
        <rFont val="細明體"/>
        <family val="3"/>
        <charset val="136"/>
      </rPr>
      <t>適穿</t>
    </r>
    <phoneticPr fontId="2" type="noConversion"/>
  </si>
  <si>
    <t>7-11取貨付款</t>
  </si>
  <si>
    <t>11/05買家已取貨付款</t>
  </si>
  <si>
    <t>L72432265054</t>
  </si>
  <si>
    <t>洪*富</t>
  </si>
  <si>
    <t>**********</t>
  </si>
  <si>
    <t>藏藍</t>
  </si>
  <si>
    <t>booklife</t>
  </si>
  <si>
    <r>
      <rPr>
        <sz val="10"/>
        <rFont val="細明體"/>
        <family val="3"/>
        <charset val="136"/>
      </rPr>
      <t>買</t>
    </r>
    <r>
      <rPr>
        <sz val="10"/>
        <rFont val="Arial"/>
        <family val="2"/>
      </rPr>
      <t>10</t>
    </r>
    <r>
      <rPr>
        <sz val="10"/>
        <rFont val="細明體"/>
        <family val="3"/>
        <charset val="136"/>
      </rPr>
      <t>送</t>
    </r>
    <r>
      <rPr>
        <sz val="10"/>
        <rFont val="Arial"/>
        <family val="2"/>
      </rPr>
      <t>1</t>
    </r>
    <r>
      <rPr>
        <sz val="10"/>
        <rFont val="細明體"/>
        <family val="3"/>
        <charset val="136"/>
      </rPr>
      <t>！現貨植物纖維打底褲</t>
    </r>
    <r>
      <rPr>
        <sz val="10"/>
        <rFont val="Arial"/>
        <family val="2"/>
      </rPr>
      <t xml:space="preserve"> </t>
    </r>
    <r>
      <rPr>
        <sz val="10"/>
        <rFont val="細明體"/>
        <family val="3"/>
        <charset val="136"/>
      </rPr>
      <t>女生</t>
    </r>
    <phoneticPr fontId="2" type="noConversion"/>
  </si>
  <si>
    <t>L</t>
    <phoneticPr fontId="2" type="noConversion"/>
  </si>
  <si>
    <t>全家、OK、萊爾富取貨付款</t>
  </si>
  <si>
    <t>11/15買家已取貨付款</t>
  </si>
  <si>
    <t>張*璉</t>
  </si>
  <si>
    <t>yenweian08</t>
  </si>
  <si>
    <t>你好，我買10送一，黑色*5 灰色*3 藍色*3</t>
  </si>
  <si>
    <t>11/23買家已取貨付款</t>
  </si>
  <si>
    <t>顏*安</t>
  </si>
  <si>
    <t>dd7peqme</t>
  </si>
  <si>
    <t>超可愛男襪女襪 情侶短襪 台灣製</t>
    <phoneticPr fontId="2" type="noConversion"/>
  </si>
  <si>
    <t>均碼👉35-39碼適穿</t>
  </si>
  <si>
    <t>11/25買家已取貨付款</t>
  </si>
  <si>
    <t>M46214729805</t>
  </si>
  <si>
    <t>鍾*權</t>
  </si>
  <si>
    <t>pinky830301</t>
  </si>
  <si>
    <t>獨家高品質！台灣現貨女生冰絲打底褲</t>
    <phoneticPr fontId="2" type="noConversion"/>
  </si>
  <si>
    <t>L</t>
  </si>
  <si>
    <t>已領退貨</t>
    <phoneticPr fontId="4" type="noConversion"/>
  </si>
  <si>
    <t>鄭*茹</t>
  </si>
  <si>
    <t>M</t>
    <phoneticPr fontId="2" type="noConversion"/>
  </si>
  <si>
    <r>
      <t>12/02</t>
    </r>
    <r>
      <rPr>
        <sz val="10"/>
        <rFont val="細明體"/>
        <family val="3"/>
        <charset val="136"/>
      </rPr>
      <t>買家已取貨付款</t>
    </r>
    <phoneticPr fontId="4" type="noConversion"/>
  </si>
  <si>
    <t>膚色</t>
    <phoneticPr fontId="2" type="noConversion"/>
  </si>
  <si>
    <t>強力推薦！台灣好吃食品罐裝</t>
  </si>
  <si>
    <r>
      <t>200g</t>
    </r>
    <r>
      <rPr>
        <sz val="10"/>
        <rFont val="細明體"/>
        <family val="3"/>
        <charset val="136"/>
      </rPr>
      <t>桶裝</t>
    </r>
    <phoneticPr fontId="4" type="noConversion"/>
  </si>
  <si>
    <t>老薑</t>
    <phoneticPr fontId="4" type="noConversion"/>
  </si>
  <si>
    <t>illusder</t>
  </si>
  <si>
    <t>12/03買家已取貨付款</t>
    <phoneticPr fontId="4" type="noConversion"/>
  </si>
  <si>
    <t>J28330667737</t>
  </si>
  <si>
    <t>許*萍</t>
  </si>
  <si>
    <t>Y拍</t>
  </si>
  <si>
    <t>5</t>
  </si>
  <si>
    <t>69</t>
  </si>
  <si>
    <t>39</t>
  </si>
  <si>
    <t>10</t>
  </si>
  <si>
    <t>1</t>
  </si>
  <si>
    <t>179</t>
  </si>
  <si>
    <t>!退貨!</t>
  </si>
  <si>
    <t>男生冰絲打底褲[藏藍色XL],男生冰絲打底褲[寶藍色XL]</t>
  </si>
  <si>
    <t>A2(1);A2(1)</t>
  </si>
  <si>
    <t>女生上衣裙[白色M],女生上衣裙[灰色M],女生上衣裙[黑色L]</t>
  </si>
  <si>
    <t>A7(1);A7(1);A7(1)</t>
  </si>
  <si>
    <t>女生冰絲打底褲[藍色M],女生冰絲打底褲[黑色M],女生冰絲打底褲[紅色M]</t>
  </si>
  <si>
    <t>A1(2);A1(2);A1(2)</t>
  </si>
  <si>
    <t>單入食品[原味],單入食品[老薑]</t>
  </si>
  <si>
    <t>A5(10);A5(10)</t>
  </si>
  <si>
    <t>印花短褲-加大碼[紅色],印花短褲-均碼[紅色],印花短褲-加大碼[藍色],印花短褲-均碼[藍色],印花短褲-加大碼[黑色],印花短褲-加大碼[粉色],男生冰絲打底褲[藏藍色XL],男生冰絲打底褲[寶藍色XL]</t>
  </si>
  <si>
    <t>A4-1(1);A4(1);A4-1(1);A4(1);A4-1(1);A4-1(1);A2(1);A2(1)</t>
  </si>
  <si>
    <t>女生植物纖維打底褲[藍色L],女生植物纖維打底褲[灰色L],女生冰絲打底褲[白色L],女生冰絲打底褲[膚色L],女生冰絲打底褲[膚色M]</t>
  </si>
  <si>
    <t>A8(1);A8(1);A1(1);A1(1);A1(1)</t>
  </si>
  <si>
    <t>女生冰絲打底褲[粉色L],女生冰絲打底褲[紅色M],女生冰絲打底褲[黑色M],女生冰絲打底褲[紅色L],女生冰絲打底褲[藍色L],女生冰絲打底褲[藍色M],女生冰絲打底褲[膚色L],女生冰絲打底褲[膚色M],女生刺繡隱形襪[粉色],女生刺繡隱形襪[藍色],女生刺繡隱形襪[黑色]</t>
  </si>
  <si>
    <t>A1(1);A1(1);A1(1);A1(1);A1(1);A1(1);A1(3);A1(1);A6(2);A6(1);A6(2)</t>
  </si>
  <si>
    <t>A8(20)</t>
  </si>
  <si>
    <t>男女情侶短襪[愛心],男女情侶短襪[星星],男女情侶短襪[動物],女生刺繡隱形襪[粉色],女生刺繡隱形襪[藍色],女生刺繡隱形襪[黑色],女生刺繡隱形襪[紅色],女生刺繡隱形襪[黃色],女生刺繡隱形襪[綠色],女生刺繡隱形襪[橘色]</t>
  </si>
  <si>
    <t>A3(1);A3(1);A3(1);A6(2);A6(1);A6(3);A6(1);A6(1);A6(1);A6(1)</t>
  </si>
  <si>
    <t>A5(20);A5(10)</t>
  </si>
  <si>
    <t>!棄領!</t>
  </si>
  <si>
    <t>A1(4)</t>
  </si>
  <si>
    <t>A2(10)</t>
  </si>
  <si>
    <t>A1(2)</t>
  </si>
  <si>
    <t>A9(2)</t>
  </si>
  <si>
    <t>A9(2);A9(5)</t>
  </si>
  <si>
    <t>女生冰絲打底褲[紅色M],女生冰絲打底褲[紅色L]</t>
  </si>
  <si>
    <t>A1(16);A1(18)</t>
  </si>
  <si>
    <t>A2(5);A2(9)</t>
  </si>
  <si>
    <t>A9(1)</t>
  </si>
  <si>
    <t>女生冰絲打底褲[粉色M],女生冰絲打底褲[紅色L],女生冰絲打底褲[藍色L],女生冰絲打底褲[膚色L],女生冰絲打底褲[黑色L]</t>
  </si>
  <si>
    <t>A1(1);A1(1);A1(1);A1(1);A1(1)</t>
  </si>
  <si>
    <t>A1(1)</t>
  </si>
  <si>
    <t>男生冰絲打底褲[寶藍色XL],男生冰絲打底褲[藏藍色XL]</t>
  </si>
  <si>
    <t>A2(5);A2(5)</t>
  </si>
  <si>
    <t>A8(5)</t>
  </si>
  <si>
    <t>男女情侶短襪[愛心],男生冰絲打底褲[寶藍色XL],男生冰絲打底褲[藏藍色XL]</t>
  </si>
  <si>
    <t>A3(5);A2(5);A2(5)</t>
  </si>
  <si>
    <t>年度銷售表</t>
    <phoneticPr fontId="2" type="noConversion"/>
  </si>
  <si>
    <r>
      <t>2月</t>
    </r>
    <r>
      <rPr>
        <sz val="10"/>
        <rFont val="細明體"/>
        <family val="2"/>
        <charset val="136"/>
      </rPr>
      <t/>
    </r>
  </si>
  <si>
    <r>
      <t>3月</t>
    </r>
    <r>
      <rPr>
        <sz val="10"/>
        <rFont val="細明體"/>
        <family val="2"/>
        <charset val="136"/>
      </rPr>
      <t/>
    </r>
  </si>
  <si>
    <r>
      <t>4月</t>
    </r>
    <r>
      <rPr>
        <sz val="10"/>
        <rFont val="細明體"/>
        <family val="2"/>
        <charset val="136"/>
      </rPr>
      <t/>
    </r>
  </si>
  <si>
    <r>
      <t>5月</t>
    </r>
    <r>
      <rPr>
        <sz val="10"/>
        <rFont val="細明體"/>
        <family val="2"/>
        <charset val="136"/>
      </rPr>
      <t/>
    </r>
  </si>
  <si>
    <r>
      <t>6月</t>
    </r>
    <r>
      <rPr>
        <sz val="10"/>
        <rFont val="細明體"/>
        <family val="2"/>
        <charset val="136"/>
      </rPr>
      <t/>
    </r>
  </si>
  <si>
    <r>
      <t>7月</t>
    </r>
    <r>
      <rPr>
        <sz val="10"/>
        <rFont val="細明體"/>
        <family val="2"/>
        <charset val="136"/>
      </rPr>
      <t/>
    </r>
  </si>
  <si>
    <r>
      <t>8月</t>
    </r>
    <r>
      <rPr>
        <sz val="10"/>
        <rFont val="細明體"/>
        <family val="2"/>
        <charset val="136"/>
      </rPr>
      <t/>
    </r>
  </si>
  <si>
    <r>
      <t>9月</t>
    </r>
    <r>
      <rPr>
        <sz val="10"/>
        <rFont val="細明體"/>
        <family val="2"/>
        <charset val="136"/>
      </rPr>
      <t/>
    </r>
  </si>
  <si>
    <r>
      <t>10月</t>
    </r>
    <r>
      <rPr>
        <sz val="10"/>
        <rFont val="細明體"/>
        <family val="2"/>
        <charset val="136"/>
      </rPr>
      <t/>
    </r>
  </si>
  <si>
    <r>
      <t>11月</t>
    </r>
    <r>
      <rPr>
        <sz val="10"/>
        <rFont val="細明體"/>
        <family val="2"/>
        <charset val="136"/>
      </rPr>
      <t/>
    </r>
  </si>
  <si>
    <r>
      <t>12月</t>
    </r>
    <r>
      <rPr>
        <sz val="10"/>
        <rFont val="細明體"/>
        <family val="2"/>
        <charset val="136"/>
      </rPr>
      <t/>
    </r>
  </si>
  <si>
    <t>蝦皮訂單量</t>
    <phoneticPr fontId="2" type="noConversion"/>
  </si>
  <si>
    <t>露天訂單量</t>
    <phoneticPr fontId="2" type="noConversion"/>
  </si>
  <si>
    <t>雅虎訂單量</t>
    <phoneticPr fontId="2" type="noConversion"/>
  </si>
  <si>
    <t>總營業額</t>
    <phoneticPr fontId="2" type="noConversion"/>
  </si>
  <si>
    <t>年度平均訂單量</t>
    <phoneticPr fontId="2" type="noConversion"/>
  </si>
  <si>
    <t>1月</t>
    <phoneticPr fontId="2" type="noConversion"/>
  </si>
  <si>
    <t>銷售量</t>
    <phoneticPr fontId="2" type="noConversion"/>
  </si>
  <si>
    <t>(A2)男生冰絲打底褲</t>
  </si>
  <si>
    <t>(A7)女生上衣裙</t>
  </si>
  <si>
    <t>(A5)單入食品</t>
  </si>
  <si>
    <t>(A1)女生冰絲打底褲</t>
  </si>
  <si>
    <t>(A4-1)印花短褲-加大碼</t>
  </si>
  <si>
    <t>(A4)印花短褲-均碼</t>
  </si>
  <si>
    <t>(A9)食品獨立罐裝200G</t>
  </si>
  <si>
    <t>(A8)女生植物纖維打底褲</t>
  </si>
  <si>
    <t>(A6)女生刺繡隱形襪</t>
  </si>
  <si>
    <t>(A3)男女情侶短襪</t>
  </si>
  <si>
    <t>↓</t>
    <phoneticPr fontId="2" type="noConversion"/>
  </si>
  <si>
    <t>TA500007</t>
  </si>
  <si>
    <t>（女）OURTANKS中筒襪</t>
  </si>
  <si>
    <t>TA500002</t>
  </si>
  <si>
    <t>（女）隱形襪</t>
  </si>
  <si>
    <t>201124810AUQMJ</t>
  </si>
  <si>
    <t>201124810AUQMJ</t>
    <phoneticPr fontId="2" type="noConversion"/>
  </si>
  <si>
    <t>a***1</t>
    <phoneticPr fontId="2" type="noConversion"/>
  </si>
  <si>
    <t>女生中筒襪</t>
    <phoneticPr fontId="2" type="noConversion"/>
  </si>
  <si>
    <t>黑玫瑰</t>
  </si>
  <si>
    <t>黑玫瑰</t>
    <phoneticPr fontId="2" type="noConversion"/>
  </si>
  <si>
    <t>201504810ADQJW</t>
  </si>
  <si>
    <t>201504810ADQJW</t>
    <phoneticPr fontId="2" type="noConversion"/>
  </si>
  <si>
    <t>a***6</t>
    <phoneticPr fontId="2" type="noConversion"/>
  </si>
  <si>
    <t>女生隱形襪</t>
    <phoneticPr fontId="2" type="noConversion"/>
  </si>
  <si>
    <r>
      <t>⚡️⚡️</t>
    </r>
    <r>
      <rPr>
        <sz val="10"/>
        <rFont val="細明體"/>
        <family val="3"/>
        <charset val="136"/>
      </rPr>
      <t>現貨秒出</t>
    </r>
    <r>
      <rPr>
        <sz val="10"/>
        <rFont val="Arial"/>
        <family val="2"/>
      </rPr>
      <t>⚡️⚡️</t>
    </r>
    <r>
      <rPr>
        <sz val="10"/>
        <rFont val="細明體"/>
        <family val="3"/>
        <charset val="136"/>
      </rPr>
      <t>換季限</t>
    </r>
    <r>
      <rPr>
        <sz val="10"/>
        <rFont val="細明體"/>
        <family val="3"/>
        <charset val="136"/>
      </rPr>
      <t>羊羔絨外套</t>
    </r>
    <phoneticPr fontId="2" type="noConversion"/>
  </si>
  <si>
    <t>軍綠色⚡️現貨下殺秒出,2XL</t>
  </si>
  <si>
    <t>201DHIAO10QJW</t>
  </si>
  <si>
    <t>201DHIAO10QJW</t>
    <phoneticPr fontId="2" type="noConversion"/>
  </si>
  <si>
    <t>a***3</t>
    <phoneticPr fontId="2" type="noConversion"/>
  </si>
  <si>
    <r>
      <t>🔥</t>
    </r>
    <r>
      <rPr>
        <sz val="10"/>
        <rFont val="細明體"/>
        <family val="3"/>
        <charset val="136"/>
      </rPr>
      <t>預購品</t>
    </r>
    <r>
      <rPr>
        <sz val="10"/>
        <rFont val="Arial"/>
        <family val="2"/>
      </rPr>
      <t>🔥</t>
    </r>
    <r>
      <rPr>
        <sz val="10"/>
        <rFont val="細明體"/>
        <family val="3"/>
        <charset val="136"/>
      </rPr>
      <t>秋冬新款</t>
    </r>
    <r>
      <rPr>
        <sz val="10"/>
        <rFont val="細明體"/>
        <family val="3"/>
        <charset val="136"/>
      </rPr>
      <t>毛呢外套</t>
    </r>
    <phoneticPr fontId="2" type="noConversion"/>
  </si>
  <si>
    <t>預購⏳淺粉色,M</t>
  </si>
  <si>
    <t>（女）OURTANKS中筒襪[黑玫瑰]</t>
  </si>
  <si>
    <t>（女）隱形襪[黃色]</t>
  </si>
  <si>
    <t>女生中筒襪[黑玫瑰]</t>
  </si>
  <si>
    <t>女生隱形襪[黃色]</t>
  </si>
  <si>
    <t>⚡️⚡️現貨秒出⚡️⚡️換季限羊羔絨外套[軍綠色⚡️現貨下殺秒出,2XL]</t>
  </si>
  <si>
    <t>🔥預購品🔥秋冬新款毛呢外套[預購⏳淺粉色,M]</t>
  </si>
  <si>
    <t>⚡️⚡️現貨秒出⚡️⚡️換季限羊羔絨外套</t>
  </si>
  <si>
    <t>🔥預購品🔥秋冬新款毛呢外套</t>
  </si>
  <si>
    <t>TA500007(1)</t>
  </si>
  <si>
    <t>TA500002(1)</t>
  </si>
  <si>
    <t>!未匹配!</t>
  </si>
  <si>
    <t>201DDSIUODU1JW</t>
  </si>
  <si>
    <t>201DDSIUODU1JW</t>
    <phoneticPr fontId="2" type="noConversion"/>
  </si>
  <si>
    <t>TBD(1)</t>
  </si>
  <si>
    <t>(TA500007)（女）OURTANKS中筒襪</t>
  </si>
  <si>
    <t>(TA500002)（女）隱形襪</t>
  </si>
  <si>
    <t>不成立原因</t>
    <phoneticPr fontId="2" type="noConversion"/>
  </si>
  <si>
    <t>211110517H0RR6</t>
  </si>
  <si>
    <t>運送中</t>
  </si>
  <si>
    <t/>
  </si>
  <si>
    <t>t***2</t>
    <phoneticPr fontId="2" type="noConversion"/>
  </si>
  <si>
    <t>2021-11-10 00:05</t>
  </si>
  <si>
    <t>129.00</t>
  </si>
  <si>
    <t>SFP-206664598929408;5TMWXDYZF;FSV-218364887564288</t>
  </si>
  <si>
    <t>服飾</t>
    <phoneticPr fontId="2" type="noConversion"/>
  </si>
  <si>
    <r>
      <rPr>
        <sz val="11"/>
        <color theme="1"/>
        <rFont val="細明體"/>
        <family val="3"/>
        <charset val="136"/>
      </rPr>
      <t>黑色</t>
    </r>
    <r>
      <rPr>
        <sz val="10"/>
        <rFont val="Arial"/>
        <family val="2"/>
      </rPr>
      <t>,XL</t>
    </r>
    <phoneticPr fontId="2" type="noConversion"/>
  </si>
  <si>
    <t>134.00</t>
  </si>
  <si>
    <t>F</t>
  </si>
  <si>
    <t>OK******</t>
  </si>
  <si>
    <t>******82</t>
  </si>
  <si>
    <t>K000759</t>
  </si>
  <si>
    <t>高雄市</t>
  </si>
  <si>
    <t>陳*蓁</t>
  </si>
  <si>
    <t>信用卡</t>
  </si>
  <si>
    <t>2021-11-15 00:05</t>
  </si>
  <si>
    <t>86979997681</t>
  </si>
  <si>
    <t>2021-11-10 23:49</t>
  </si>
  <si>
    <t>211110518XYA7A</t>
  </si>
  <si>
    <t>a***a</t>
    <phoneticPr fontId="2" type="noConversion"/>
  </si>
  <si>
    <t>2021-11-10 00:06</t>
  </si>
  <si>
    <t>207.00</t>
  </si>
  <si>
    <t>267.00</t>
  </si>
  <si>
    <t>6.00</t>
  </si>
  <si>
    <r>
      <rPr>
        <sz val="11"/>
        <color theme="1"/>
        <rFont val="細明體"/>
        <family val="3"/>
        <charset val="136"/>
      </rPr>
      <t>紅色</t>
    </r>
    <r>
      <rPr>
        <sz val="10"/>
        <rFont val="Arial"/>
        <family val="2"/>
      </rPr>
      <t>,3XL</t>
    </r>
    <phoneticPr fontId="2" type="noConversion"/>
  </si>
  <si>
    <t>M</t>
  </si>
  <si>
    <t>7-******</t>
  </si>
  <si>
    <t>******56</t>
  </si>
  <si>
    <t>135403</t>
  </si>
  <si>
    <t>曹*澤</t>
  </si>
  <si>
    <t>7-11</t>
  </si>
  <si>
    <t>2021-11-15 00:06</t>
  </si>
  <si>
    <t>K88694513999</t>
  </si>
  <si>
    <t>2021-11-10 22:41</t>
  </si>
  <si>
    <r>
      <rPr>
        <sz val="11"/>
        <color theme="1"/>
        <rFont val="細明體"/>
        <family val="3"/>
        <charset val="136"/>
      </rPr>
      <t>藍色</t>
    </r>
    <r>
      <rPr>
        <sz val="10"/>
        <rFont val="Arial"/>
        <family val="2"/>
      </rPr>
      <t>,3XL</t>
    </r>
    <phoneticPr fontId="2" type="noConversion"/>
  </si>
  <si>
    <r>
      <rPr>
        <sz val="11"/>
        <color theme="1"/>
        <rFont val="細明體"/>
        <family val="3"/>
        <charset val="136"/>
      </rPr>
      <t>紫色</t>
    </r>
    <r>
      <rPr>
        <sz val="10"/>
        <rFont val="Arial"/>
        <family val="2"/>
      </rPr>
      <t>,3XL</t>
    </r>
    <phoneticPr fontId="2" type="noConversion"/>
  </si>
  <si>
    <t>i***r</t>
  </si>
  <si>
    <t>服飾</t>
  </si>
  <si>
    <t>灰色</t>
  </si>
  <si>
    <t>2XL</t>
  </si>
  <si>
    <t>7-11取貨</t>
  </si>
  <si>
    <t>10/13買家已取貨&lt;br&gt;款項已撥款給您，請至支付連帳戶查看</t>
  </si>
  <si>
    <t>J74106294215</t>
  </si>
  <si>
    <t>翁*甫</t>
  </si>
  <si>
    <t>總淨利額</t>
    <phoneticPr fontId="2" type="noConversion"/>
  </si>
  <si>
    <t>總營業額</t>
    <phoneticPr fontId="2" type="noConversion"/>
  </si>
  <si>
    <t>稅額</t>
    <phoneticPr fontId="2" type="noConversion"/>
  </si>
  <si>
    <t>補寄/退件運費</t>
    <phoneticPr fontId="2" type="noConversion"/>
  </si>
  <si>
    <t>其他費用</t>
    <phoneticPr fontId="2" type="noConversion"/>
  </si>
  <si>
    <t>廣告費用</t>
    <phoneticPr fontId="2" type="noConversion"/>
  </si>
  <si>
    <t>耗材費用</t>
    <phoneticPr fontId="2" type="noConversion"/>
  </si>
  <si>
    <t>淨利</t>
    <phoneticPr fontId="2" type="noConversion"/>
  </si>
  <si>
    <t>其他費用(代墊款)</t>
    <phoneticPr fontId="2" type="noConversion"/>
  </si>
  <si>
    <t>其他費用(自付款)</t>
    <phoneticPr fontId="2" type="noConversion"/>
  </si>
  <si>
    <t>代墊款</t>
    <phoneticPr fontId="2" type="noConversion"/>
  </si>
  <si>
    <t>保險費</t>
    <phoneticPr fontId="2" type="noConversion"/>
  </si>
  <si>
    <t>應付款</t>
    <phoneticPr fontId="2" type="noConversion"/>
  </si>
  <si>
    <t>220801VKCMQN5V</t>
  </si>
  <si>
    <t>c***8</t>
    <phoneticPr fontId="2" type="noConversion"/>
  </si>
  <si>
    <t>2022-08-01 00:08</t>
  </si>
  <si>
    <t>99.00</t>
  </si>
  <si>
    <t>FSV-416139516837888</t>
  </si>
  <si>
    <t>2.00%</t>
  </si>
  <si>
    <r>
      <rPr>
        <sz val="11"/>
        <color theme="1"/>
        <rFont val="細明體"/>
        <family val="3"/>
        <charset val="136"/>
      </rPr>
      <t>冰絲</t>
    </r>
    <r>
      <rPr>
        <sz val="11"/>
        <color theme="1"/>
        <rFont val="細明體"/>
        <family val="3"/>
        <charset val="136"/>
      </rPr>
      <t>中腰三角內褲</t>
    </r>
    <phoneticPr fontId="2" type="noConversion"/>
  </si>
  <si>
    <t>-</t>
  </si>
  <si>
    <t>信義******</t>
  </si>
  <si>
    <t>******04</t>
  </si>
  <si>
    <t>臺北市</t>
  </si>
  <si>
    <t>信義區</t>
  </si>
  <si>
    <t>蔡*琳</t>
  </si>
  <si>
    <t>蝦皮店到店</t>
  </si>
  <si>
    <t>2022-08-04 00:08</t>
  </si>
  <si>
    <t>TW222767005765I</t>
  </si>
  <si>
    <t>2022-08-02 00:38</t>
  </si>
  <si>
    <t>2022-08-08 00:22</t>
  </si>
  <si>
    <t>藍灰色,M</t>
  </si>
  <si>
    <t>中豆紅,M</t>
  </si>
  <si>
    <t>220801VKPTUSTE</t>
  </si>
  <si>
    <t>r***0</t>
    <phoneticPr fontId="2" type="noConversion"/>
  </si>
  <si>
    <t>2022-08-01 00:14</t>
  </si>
  <si>
    <t>463.00</t>
  </si>
  <si>
    <t>CHIEHDLKN;NZGYRUVZTR;FSV-404585399795712</t>
  </si>
  <si>
    <t>35.00</t>
  </si>
  <si>
    <t>50.00</t>
  </si>
  <si>
    <t>膚色,XL</t>
  </si>
  <si>
    <t>40.00</t>
  </si>
  <si>
    <t>10 件折 NT$30</t>
  </si>
  <si>
    <t>******07</t>
  </si>
  <si>
    <t>K001420</t>
  </si>
  <si>
    <t>林*銘</t>
  </si>
  <si>
    <t>2022-08-04 00:14</t>
  </si>
  <si>
    <t>TW226248511420L</t>
  </si>
  <si>
    <t>2022-08-02 00:37</t>
  </si>
  <si>
    <t>2022-08-06 13:30</t>
  </si>
  <si>
    <t>27.00</t>
  </si>
  <si>
    <t>9.00</t>
  </si>
  <si>
    <t>22080358TGADG9</t>
  </si>
  <si>
    <t>d***y</t>
    <phoneticPr fontId="2" type="noConversion"/>
  </si>
  <si>
    <t>2022-08-03 07:14</t>
  </si>
  <si>
    <t>CHIE54121;FSV-412510192697344</t>
  </si>
  <si>
    <t>手工黑糖塊</t>
    <phoneticPr fontId="2" type="noConversion"/>
  </si>
  <si>
    <r>
      <rPr>
        <sz val="11"/>
        <rFont val="細明體"/>
        <family val="3"/>
        <charset val="136"/>
      </rPr>
      <t>紅棗桂圓</t>
    </r>
    <r>
      <rPr>
        <sz val="11"/>
        <rFont val="Calibri"/>
        <family val="2"/>
      </rPr>
      <t>,</t>
    </r>
    <r>
      <rPr>
        <sz val="11"/>
        <rFont val="Calibri"/>
        <family val="2"/>
      </rPr>
      <t>450g</t>
    </r>
    <phoneticPr fontId="2" type="noConversion"/>
  </si>
  <si>
    <t>179.00</t>
  </si>
  <si>
    <t>萊爾******</t>
  </si>
  <si>
    <t>******42</t>
  </si>
  <si>
    <t>4176</t>
  </si>
  <si>
    <t>李*鳳</t>
  </si>
  <si>
    <t>2022-08-08 07:14</t>
  </si>
  <si>
    <t>2N3F23443009</t>
  </si>
  <si>
    <t>2022-08-04 23:51</t>
  </si>
  <si>
    <t>2022-08-13 21:14</t>
  </si>
  <si>
    <t>藍灰色,L</t>
  </si>
  <si>
    <t>黑色,XL</t>
  </si>
  <si>
    <t>莫代爾中高腰三角褲</t>
    <phoneticPr fontId="2" type="noConversion"/>
  </si>
  <si>
    <r>
      <rPr>
        <sz val="11"/>
        <rFont val="細明體"/>
        <family val="3"/>
        <charset val="136"/>
      </rPr>
      <t>黑色</t>
    </r>
    <r>
      <rPr>
        <sz val="11"/>
        <rFont val="Calibri"/>
        <family val="2"/>
      </rPr>
      <t>,XL</t>
    </r>
    <phoneticPr fontId="2" type="noConversion"/>
  </si>
  <si>
    <t>220808KG5EVSJT</t>
  </si>
  <si>
    <t>y***e</t>
    <phoneticPr fontId="2" type="noConversion"/>
  </si>
  <si>
    <t>2022-08-08 23:03</t>
  </si>
  <si>
    <t>615.00</t>
  </si>
  <si>
    <t>CHIE54121;FSV-394573201309712</t>
  </si>
  <si>
    <r>
      <rPr>
        <sz val="11"/>
        <color theme="1"/>
        <rFont val="細明體"/>
        <family val="3"/>
        <charset val="136"/>
      </rPr>
      <t>清涼感冰絲四角褲</t>
    </r>
    <r>
      <rPr>
        <sz val="11"/>
        <color theme="1"/>
        <rFont val="細明體"/>
        <family val="3"/>
        <charset val="136"/>
      </rPr>
      <t/>
    </r>
    <phoneticPr fontId="2" type="noConversion"/>
  </si>
  <si>
    <t>63.00</t>
  </si>
  <si>
    <t>10 件折 NT$60</t>
  </si>
  <si>
    <t>全家******</t>
  </si>
  <si>
    <t>******66</t>
  </si>
  <si>
    <t>007096</t>
  </si>
  <si>
    <t>許*銓</t>
  </si>
  <si>
    <t>2022-08-11 23:03</t>
  </si>
  <si>
    <t>12131996538</t>
  </si>
  <si>
    <t>2022-08-10 00:10</t>
  </si>
  <si>
    <t>2022-08-22 08:57</t>
  </si>
  <si>
    <t>25.00</t>
  </si>
  <si>
    <t>18.00</t>
  </si>
  <si>
    <t>黑色,2XL</t>
  </si>
  <si>
    <t>灰色,XL</t>
  </si>
  <si>
    <t>寶藍色,2XL</t>
  </si>
  <si>
    <t>白色,XL</t>
  </si>
  <si>
    <t>咖啡色,XL</t>
  </si>
  <si>
    <t>咖啡色,2XL</t>
  </si>
  <si>
    <t>紫色,XL</t>
  </si>
  <si>
    <t>服飾[黑色,XL]</t>
  </si>
  <si>
    <t>服飾[紅色,3XL]</t>
  </si>
  <si>
    <t>服飾[藍色,3XL]</t>
  </si>
  <si>
    <t>服飾[紫色,3XL]</t>
  </si>
  <si>
    <t>冰絲中腰三角內褲[膚色,M]</t>
  </si>
  <si>
    <t>冰絲中腰三角內褲[藍灰色,M]</t>
  </si>
  <si>
    <t>冰絲中腰三角內褲[中豆紅,M]</t>
  </si>
  <si>
    <t>冰絲中腰三角內褲[膚色,XL]</t>
  </si>
  <si>
    <t>手工黑糖塊[紅棗桂圓,450g]</t>
  </si>
  <si>
    <t>冰絲中腰三角內褲[藍灰色,L]</t>
  </si>
  <si>
    <t>冰絲中腰三角內褲[黑色,XL]</t>
  </si>
  <si>
    <t>莫代爾中高腰三角褲[黑色,XL]</t>
  </si>
  <si>
    <t>清涼感冰絲四角褲[黑色,XL]</t>
  </si>
  <si>
    <t>清涼感冰絲四角褲[黑色,2XL]</t>
  </si>
  <si>
    <t>清涼感冰絲四角褲[灰色,XL]</t>
  </si>
  <si>
    <t>清涼感冰絲四角褲[藏藍色,XL]</t>
  </si>
  <si>
    <t>清涼感冰絲四角褲[寶藍色,XL]</t>
  </si>
  <si>
    <t>清涼感冰絲四角褲[寶藍色,2XL]</t>
  </si>
  <si>
    <t>清涼感冰絲四角褲[白色,XL]</t>
  </si>
  <si>
    <t>清涼感冰絲四角褲[咖啡色,XL]</t>
  </si>
  <si>
    <t>清涼感冰絲四角褲[咖啡色,2XL]</t>
  </si>
  <si>
    <t>清涼感冰絲四角褲[紫色,XL]</t>
  </si>
  <si>
    <t>服飾[灰色,2XL]</t>
  </si>
  <si>
    <t>220801VKCMQN5V</t>
    <phoneticPr fontId="2" type="noConversion"/>
  </si>
  <si>
    <t>TA500007</t>
    <phoneticPr fontId="2" type="noConversion"/>
  </si>
  <si>
    <t>TA500002</t>
    <phoneticPr fontId="2" type="noConversion"/>
  </si>
  <si>
    <t>f***5</t>
  </si>
  <si>
    <t>清涼感冰絲四角褲</t>
  </si>
  <si>
    <t>XL</t>
  </si>
  <si>
    <t>08/05買家已取貨付款</t>
  </si>
  <si>
    <t>G88354555793</t>
  </si>
  <si>
    <t>彭*杰</t>
  </si>
  <si>
    <t>清涼感冰絲四角褲[藏藍,XL]</t>
  </si>
  <si>
    <t>清涼感冰絲四角褲[寶藍,XL]</t>
  </si>
  <si>
    <t>-</t>
    <phoneticPr fontId="2" type="noConversion"/>
  </si>
  <si>
    <t>紅色,3XL</t>
  </si>
  <si>
    <t>藍色,3XL</t>
  </si>
  <si>
    <t>紫色,3XL</t>
  </si>
  <si>
    <t>冰絲中腰三角內褲</t>
  </si>
  <si>
    <t>莫代爾中高腰三角褲</t>
  </si>
  <si>
    <t>灰色,2XL</t>
  </si>
  <si>
    <t>藏藍,XL</t>
  </si>
  <si>
    <t>寶藍,XL</t>
  </si>
  <si>
    <t>服飾[紅色,3XL],服飾[藍色,服飾[紫色</t>
  </si>
  <si>
    <t>TBD(1);TBD(1);TBD(1)</t>
  </si>
  <si>
    <t>冰絲中腰三角內褲[膚色,M],冰絲中腰三角內褲[藍灰色,冰絲中腰三角內褲[中豆紅</t>
  </si>
  <si>
    <t>TBD(1);TBD(1);TBD(1);TBD(1);TBD(1);TBD(1)</t>
  </si>
  <si>
    <t>TBD(10);TBD(7);TBD(10);TBD(7)</t>
  </si>
  <si>
    <t>冰絲中腰三角內褲[藍灰色,L],冰絲中腰三角內褲[黑色,XL],莫代爾中高腰三角褲[黑色</t>
  </si>
  <si>
    <t>A5(1);A5(1)</t>
  </si>
  <si>
    <t>清涼感冰絲四角褲[黑色,XL],2XL],清涼感冰絲四角褲[灰色,清涼感冰絲四角褲[藏藍色,清涼感冰絲四角褲[寶藍色,清涼感冰絲四角褲[白色,清涼感冰絲四角褲[咖啡色,清涼感冰絲四角褲[紫色</t>
  </si>
  <si>
    <t>TBD(1);TBD(1);TBD(1);TBD(1);TBD(1);TBD(1);TBD(1);TBD(1);TBD(1);TBD(1);TBD(1);TBD(1);TBD(1);TBD(1);TBD(1);TBD(1);TBD(1);TBD(1);TBD(1);TBD(1)</t>
  </si>
  <si>
    <t>TBD(10)</t>
  </si>
  <si>
    <t>清涼感冰絲四角褲[灰色,XL],清涼感冰絲四角褲[黑色,清涼感冰絲四角褲[藏藍,清涼感冰絲四角褲[寶藍</t>
  </si>
  <si>
    <t>TBD(2);TBD(2);TBD(2);TBD(2)</t>
  </si>
  <si>
    <t>A</t>
    <phoneticPr fontId="2" type="noConversion"/>
  </si>
  <si>
    <t>220801VKCMQN5V</t>
    <phoneticPr fontId="2" type="noConversion"/>
  </si>
  <si>
    <t>220808KG5EVSJT</t>
    <phoneticPr fontId="2" type="noConversion"/>
  </si>
  <si>
    <t>22080358TGADG9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</si>
</sst>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176" formatCode="[$-F800]dddd\,\ mmmm\ dd\,\ yyyy"/>
    <numFmt numFmtId="177" formatCode="yyyy&quot;年&quot;m&quot;月&quot;d&quot;日&quot;;@"/>
    <numFmt numFmtId="178" formatCode="0.00_);[Red]\(0.00\)"/>
    <numFmt numFmtId="179" formatCode="m&quot;月&quot;d&quot;日&quot;"/>
    <numFmt numFmtId="180" formatCode="&quot;$&quot;#,##0_);[Red]\(&quot;$&quot;#,##0\)"/>
    <numFmt numFmtId="181" formatCode="&quot;$&quot;#,##0.00_);[Red]\(&quot;$&quot;#,##0.00\)"/>
    <numFmt numFmtId="182" formatCode="yyyy&quot;年&quot;m&quot;月&quot;d&quot;日&quot;"/>
  </numFmts>
  <fonts count="39" x14ac:knownFonts="1"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  <font>
      <sz val="9"/>
      <name val="新細明體"/>
      <family val="1"/>
      <charset val="136"/>
    </font>
    <font>
      <sz val="10"/>
      <name val="Arial"/>
      <family val="2"/>
    </font>
    <font>
      <sz val="10"/>
      <name val="Arial"/>
      <family val="2"/>
    </font>
    <font>
      <sz val="12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sz val="12"/>
      <color indexed="10"/>
      <name val="微軟正黑體"/>
      <family val="2"/>
      <charset val="136"/>
    </font>
    <font>
      <sz val="11"/>
      <name val="微軟正黑體"/>
      <family val="2"/>
      <charset val="136"/>
    </font>
    <font>
      <b/>
      <sz val="12"/>
      <color indexed="9"/>
      <name val="微軟正黑體"/>
      <family val="2"/>
      <charset val="136"/>
    </font>
    <font>
      <sz val="12"/>
      <color indexed="53"/>
      <name val="微軟正黑體"/>
      <family val="2"/>
      <charset val="136"/>
    </font>
    <font>
      <sz val="12"/>
      <color indexed="36"/>
      <name val="微軟正黑體"/>
      <family val="2"/>
      <charset val="136"/>
    </font>
    <font>
      <sz val="12"/>
      <color indexed="57"/>
      <name val="微軟正黑體"/>
      <family val="2"/>
      <charset val="136"/>
    </font>
    <font>
      <sz val="10"/>
      <name val="Arial"/>
      <family val="3"/>
      <charset val="136"/>
    </font>
    <font>
      <sz val="11"/>
      <color rgb="FF0070C0"/>
      <name val="微軟正黑體"/>
      <family val="2"/>
      <charset val="136"/>
    </font>
    <font>
      <sz val="10"/>
      <name val="Microsoft JhengHei Light"/>
      <family val="2"/>
      <charset val="136"/>
    </font>
    <font>
      <b/>
      <sz val="10"/>
      <color theme="0"/>
      <name val="Microsoft JhengHei Light"/>
      <family val="2"/>
      <charset val="136"/>
    </font>
    <font>
      <sz val="12"/>
      <color theme="1"/>
      <name val="微軟正黑體"/>
      <family val="2"/>
      <charset val="136"/>
    </font>
    <font>
      <sz val="11"/>
      <color indexed="53"/>
      <name val="微軟正黑體"/>
      <family val="2"/>
      <charset val="136"/>
    </font>
    <font>
      <sz val="11"/>
      <color indexed="36"/>
      <name val="微軟正黑體"/>
      <family val="2"/>
      <charset val="136"/>
    </font>
    <font>
      <sz val="11"/>
      <color indexed="57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name val="細明體"/>
      <family val="2"/>
      <charset val="136"/>
    </font>
    <font>
      <sz val="10"/>
      <color theme="5" tint="-0.249977111117893"/>
      <name val="Arial"/>
      <family val="2"/>
    </font>
    <font>
      <sz val="10"/>
      <name val="微軟正黑體"/>
      <family val="2"/>
      <charset val="136"/>
    </font>
    <font>
      <sz val="10"/>
      <color rgb="FFFFC305"/>
      <name val="微軟正黑體"/>
      <family val="2"/>
      <charset val="136"/>
    </font>
    <font>
      <sz val="10"/>
      <color rgb="FF00B050"/>
      <name val="微軟正黑體"/>
      <family val="2"/>
      <charset val="136"/>
    </font>
    <font>
      <sz val="10"/>
      <color rgb="FF7030A0"/>
      <name val="微軟正黑體"/>
      <family val="2"/>
      <charset val="136"/>
    </font>
    <font>
      <b/>
      <sz val="10"/>
      <color rgb="FF00B0F0"/>
      <name val="微軟正黑體"/>
      <family val="2"/>
      <charset val="136"/>
    </font>
    <font>
      <sz val="11"/>
      <color rgb="FF00B0F0"/>
      <name val="微軟正黑體"/>
      <family val="2"/>
      <charset val="136"/>
    </font>
    <font>
      <sz val="10"/>
      <color rgb="FF00B0F0"/>
      <name val="Arial"/>
      <family val="2"/>
    </font>
    <font>
      <sz val="11"/>
      <color theme="1"/>
      <name val="細明體"/>
      <family val="3"/>
      <charset val="136"/>
    </font>
    <font>
      <sz val="11"/>
      <color theme="1"/>
      <name val="Calibri"/>
      <family val="3"/>
      <charset val="136"/>
    </font>
    <font>
      <sz val="11"/>
      <color theme="0"/>
      <name val="微軟正黑體"/>
      <family val="2"/>
      <charset val="136"/>
    </font>
    <font>
      <sz val="11"/>
      <name val="Calibri"/>
      <family val="2"/>
    </font>
    <font>
      <sz val="11"/>
      <name val="細明體"/>
      <family val="3"/>
      <charset val="136"/>
    </font>
    <font>
      <sz val="11"/>
      <name val="Calibri"/>
      <family val="3"/>
      <charset val="136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</borders>
  <cellStyleXfs count="2">
    <xf numFmtId="0" fontId="0" fillId="0" borderId="0" applyNumberFormat="0" applyFill="0" applyBorder="0" applyAlignment="0" applyProtection="0"/>
    <xf numFmtId="44" fontId="1" fillId="0" borderId="0" applyFont="0" applyFill="0" applyBorder="0" applyAlignment="0" applyProtection="0">
      <alignment vertical="center"/>
    </xf>
  </cellStyleXfs>
  <cellXfs count="130"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0" fillId="0" borderId="0" xfId="0" applyNumberForma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77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5" xfId="0" applyFont="1" applyBorder="1" applyAlignment="1">
      <alignment horizontal="center" vertical="center"/>
    </xf>
    <xf numFmtId="0" fontId="18" fillId="4" borderId="6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left" vertical="center"/>
    </xf>
    <xf numFmtId="178" fontId="10" fillId="0" borderId="0" xfId="0" applyNumberFormat="1" applyFont="1" applyFill="1" applyAlignment="1">
      <alignment horizontal="left" vertical="center"/>
    </xf>
    <xf numFmtId="178" fontId="10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3" fillId="8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" fillId="9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1" fillId="10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1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0" fontId="1" fillId="12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0" fillId="13" borderId="0" xfId="0" applyFill="1" applyAlignment="1">
      <alignment vertical="center"/>
    </xf>
    <xf numFmtId="0" fontId="1" fillId="13" borderId="0" xfId="0" applyFont="1" applyFill="1" applyAlignment="1">
      <alignment vertical="center"/>
    </xf>
    <xf numFmtId="0" fontId="3" fillId="13" borderId="0" xfId="0" applyFont="1" applyFill="1" applyAlignment="1">
      <alignment vertical="center"/>
    </xf>
    <xf numFmtId="22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179" fontId="10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25" fillId="14" borderId="13" xfId="0" applyFont="1" applyFill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80" fontId="26" fillId="0" borderId="0" xfId="1" applyNumberFormat="1" applyFont="1" applyAlignment="1">
      <alignment horizontal="center" vertical="center"/>
    </xf>
    <xf numFmtId="180" fontId="0" fillId="0" borderId="0" xfId="0" applyNumberFormat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31" fontId="10" fillId="0" borderId="0" xfId="0" applyNumberFormat="1" applyFont="1" applyAlignment="1">
      <alignment horizontal="left" vertical="center"/>
    </xf>
    <xf numFmtId="0" fontId="26" fillId="0" borderId="0" xfId="0" applyFont="1" applyAlignment="1">
      <alignment vertical="center"/>
    </xf>
    <xf numFmtId="0" fontId="0" fillId="0" borderId="0" xfId="0"/>
    <xf numFmtId="0" fontId="33" fillId="0" borderId="0" xfId="0" applyFont="1"/>
    <xf numFmtId="0" fontId="34" fillId="0" borderId="0" xfId="0" applyFont="1"/>
    <xf numFmtId="181" fontId="26" fillId="0" borderId="0" xfId="0" applyNumberFormat="1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0" fontId="26" fillId="0" borderId="0" xfId="0" applyNumberFormat="1" applyFont="1" applyAlignment="1">
      <alignment horizontal="center" vertical="center"/>
    </xf>
    <xf numFmtId="0" fontId="35" fillId="16" borderId="0" xfId="0" applyFont="1" applyFill="1" applyAlignment="1">
      <alignment horizontal="left" vertical="center"/>
    </xf>
    <xf numFmtId="0" fontId="0" fillId="17" borderId="0" xfId="0" applyFill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6" fillId="18" borderId="0" xfId="0" applyFont="1" applyFill="1"/>
    <xf numFmtId="0" fontId="8" fillId="3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0" fillId="15" borderId="18" xfId="0" applyFill="1" applyBorder="1" applyAlignment="1">
      <alignment horizontal="center" vertical="center"/>
    </xf>
    <xf numFmtId="0" fontId="0" fillId="15" borderId="19" xfId="0" applyFill="1" applyBorder="1" applyAlignment="1">
      <alignment horizontal="center" vertical="center"/>
    </xf>
    <xf numFmtId="0" fontId="0" fillId="15" borderId="20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" xfId="0" quotePrefix="1" applyFont="1" applyBorder="1" applyAlignment="1">
      <alignment horizontal="center" vertical="center"/>
    </xf>
    <xf numFmtId="182" fontId="10" fillId="0" borderId="0" xfId="0" applyNumberFormat="1" applyFont="1" applyAlignment="1">
      <alignment horizontal="left" vertical="center"/>
    </xf>
  </cellXfs>
  <cellStyles count="2">
    <cellStyle name="一般" xfId="0" builtinId="0"/>
    <cellStyle name="貨幣" xfId="1" builtin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F0F0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F5F0F0"/>
      <rgbColor rgb="00FFFF99"/>
      <rgbColor rgb="0099CCFF"/>
      <rgbColor rgb="00FF99CC"/>
      <rgbColor rgb="00CC99FF"/>
      <rgbColor rgb="00FFCC99"/>
      <rgbColor rgb="00F8F8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708090"/>
    </indexedColors>
    <mruColors>
      <color rgb="FFFFC305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圖表!$B$1</c:f>
              <c:strCache>
                <c:ptCount val="1"/>
                <c:pt idx="0">
                  <c:v>蝦皮訂單量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圖表!$A$2:$A$13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93F-BA07-BFF28FFC48BD}"/>
            </c:ext>
          </c:extLst>
        </c:ser>
        <c:ser>
          <c:idx val="1"/>
          <c:order val="1"/>
          <c:tx>
            <c:strRef>
              <c:f>圖表!$C$1</c:f>
              <c:strCache>
                <c:ptCount val="1"/>
                <c:pt idx="0">
                  <c:v>露天訂單量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圖表!$A$2:$A$13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93F-BA07-BFF28FFC48BD}"/>
            </c:ext>
          </c:extLst>
        </c:ser>
        <c:ser>
          <c:idx val="2"/>
          <c:order val="2"/>
          <c:tx>
            <c:strRef>
              <c:f>圖表!$D$1</c:f>
              <c:strCache>
                <c:ptCount val="1"/>
                <c:pt idx="0">
                  <c:v>雅虎訂單量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圖表!$A$2:$A$13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93F-BA07-BFF28FFC48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715144720"/>
        <c:axId val="715138816"/>
      </c:barChart>
      <c:lineChart>
        <c:grouping val="standard"/>
        <c:varyColors val="0"/>
        <c:ser>
          <c:idx val="4"/>
          <c:order val="4"/>
          <c:tx>
            <c:strRef>
              <c:f>圖表!$G$1</c:f>
              <c:strCache>
                <c:ptCount val="1"/>
                <c:pt idx="0">
                  <c:v>年度平均訂單量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圖表!$A$2:$A$13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圖表!$G$2:$G$13</c:f>
              <c:numCache>
                <c:formatCode>General</c:formatCode>
                <c:ptCount val="12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CC-493F-BA07-BFF28FFC48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5144720"/>
        <c:axId val="715138816"/>
      </c:lineChart>
      <c:lineChart>
        <c:grouping val="standard"/>
        <c:varyColors val="0"/>
        <c:ser>
          <c:idx val="3"/>
          <c:order val="3"/>
          <c:tx>
            <c:strRef>
              <c:f>圖表!$E$1</c:f>
              <c:strCache>
                <c:ptCount val="1"/>
                <c:pt idx="0">
                  <c:v>總營業額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圖表!$A$2:$A$13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圖表!$E$2:$E$13</c:f>
              <c:numCache>
                <c:formatCode>"$"#,##0_);[Red]\("$"#,##0\)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2137.3100436681225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CC-493F-BA07-BFF28FFC48BD}"/>
            </c:ext>
          </c:extLst>
        </c:ser>
        <c:ser>
          <c:idx val="5"/>
          <c:order val="5"/>
          <c:tx>
            <c:strRef>
              <c:f>圖表!$F$1</c:f>
              <c:strCache>
                <c:ptCount val="1"/>
                <c:pt idx="0">
                  <c:v>總淨利額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圖表!$F$2:$F$13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&quot;$&quot;#,##0_);[Red]\(&quot;$&quot;#,##0\)">
                  <c:v>750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6E-4534-9FD5-F35E39D780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47671224"/>
        <c:axId val="847678112"/>
      </c:lineChart>
      <c:catAx>
        <c:axId val="7151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5138816"/>
        <c:crosses val="autoZero"/>
        <c:auto val="1"/>
        <c:lblAlgn val="ctr"/>
        <c:lblOffset val="100"/>
        <c:noMultiLvlLbl val="0"/>
      </c:catAx>
      <c:valAx>
        <c:axId val="71513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5144720"/>
        <c:crosses val="autoZero"/>
        <c:crossBetween val="between"/>
      </c:valAx>
      <c:valAx>
        <c:axId val="847678112"/>
        <c:scaling>
          <c:orientation val="minMax"/>
        </c:scaling>
        <c:delete val="0"/>
        <c:axPos val="r"/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47671224"/>
        <c:crosses val="max"/>
        <c:crossBetween val="between"/>
      </c:valAx>
      <c:catAx>
        <c:axId val="847671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767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圖表!$B$27</c:f>
              <c:strCache>
                <c:ptCount val="1"/>
                <c:pt idx="0">
                  <c:v>總營業額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圖表!$A$28:$A$39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圖表!$B$28:$B$39</c:f>
              <c:numCache>
                <c:formatCode>"$"#,##0_);[Red]\("$"#,##0\)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354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9-4227-84FB-8496344C9F37}"/>
            </c:ext>
          </c:extLst>
        </c:ser>
        <c:ser>
          <c:idx val="1"/>
          <c:order val="1"/>
          <c:tx>
            <c:strRef>
              <c:f>圖表!$C$27</c:f>
              <c:strCache>
                <c:ptCount val="1"/>
                <c:pt idx="0">
                  <c:v>總淨利額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圖表!$C$28:$C$39</c:f>
              <c:numCache>
                <c:formatCode>"$"#,##0.00_);[Red]\("$"#,##0.00\)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&quot;$&quot;#,##0_);[Red]\(&quot;$&quot;#,##0\)">
                  <c:v>114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BC-413C-AD74-D9324E43CDF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17060688"/>
        <c:axId val="717061672"/>
      </c:lineChart>
      <c:catAx>
        <c:axId val="71706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7061672"/>
        <c:crosses val="autoZero"/>
        <c:auto val="1"/>
        <c:lblAlgn val="ctr"/>
        <c:lblOffset val="100"/>
        <c:noMultiLvlLbl val="0"/>
      </c:catAx>
      <c:valAx>
        <c:axId val="71706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706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15240</xdr:rowOff>
    </xdr:from>
    <xdr:to>
      <xdr:col>3</xdr:col>
      <xdr:colOff>601980</xdr:colOff>
      <xdr:row>3</xdr:row>
      <xdr:rowOff>182880</xdr:rowOff>
    </xdr:to>
    <xdr:sp macro="[0]!ShowGetDataUserForm" textlink="">
      <xdr:nvSpPr>
        <xdr:cNvPr id="5" name="圓角矩形 1">
          <a:extLst>
            <a:ext uri="{FF2B5EF4-FFF2-40B4-BE49-F238E27FC236}">
              <a16:creationId xmlns:a16="http://schemas.microsoft.com/office/drawing/2014/main" id="{7F15D56A-7853-4DD4-9540-8F3CA6B160CE}"/>
            </a:ext>
          </a:extLst>
        </xdr:cNvPr>
        <xdr:cNvSpPr/>
      </xdr:nvSpPr>
      <xdr:spPr>
        <a:xfrm>
          <a:off x="617220" y="381000"/>
          <a:ext cx="181356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選擇電商平台資料</a:t>
          </a:r>
        </a:p>
      </xdr:txBody>
    </xdr:sp>
    <xdr:clientData/>
  </xdr:twoCellAnchor>
  <xdr:twoCellAnchor>
    <xdr:from>
      <xdr:col>1</xdr:col>
      <xdr:colOff>15240</xdr:colOff>
      <xdr:row>6</xdr:row>
      <xdr:rowOff>152400</xdr:rowOff>
    </xdr:from>
    <xdr:to>
      <xdr:col>4</xdr:col>
      <xdr:colOff>0</xdr:colOff>
      <xdr:row>8</xdr:row>
      <xdr:rowOff>163830</xdr:rowOff>
    </xdr:to>
    <xdr:sp macro="[0]!UpdateStorageUSheet" textlink="">
      <xdr:nvSpPr>
        <xdr:cNvPr id="3" name="圓角矩形 1">
          <a:extLst>
            <a:ext uri="{FF2B5EF4-FFF2-40B4-BE49-F238E27FC236}">
              <a16:creationId xmlns:a16="http://schemas.microsoft.com/office/drawing/2014/main" id="{97C32A89-F85D-46BE-97AB-C8BCEC5187C4}"/>
            </a:ext>
          </a:extLst>
        </xdr:cNvPr>
        <xdr:cNvSpPr/>
      </xdr:nvSpPr>
      <xdr:spPr>
        <a:xfrm>
          <a:off x="624840" y="1280160"/>
          <a:ext cx="1813560" cy="3467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更新入庫</a:t>
          </a:r>
          <a:r>
            <a:rPr lang="en-US" altLang="zh-TW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(U)</a:t>
          </a:r>
          <a:endParaRPr lang="zh-TW" altLang="en-US" sz="11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9525</xdr:colOff>
      <xdr:row>12</xdr:row>
      <xdr:rowOff>9524</xdr:rowOff>
    </xdr:from>
    <xdr:to>
      <xdr:col>3</xdr:col>
      <xdr:colOff>600075</xdr:colOff>
      <xdr:row>13</xdr:row>
      <xdr:rowOff>173934</xdr:rowOff>
    </xdr:to>
    <xdr:sp macro="[0]!UpdateCompareSheet" textlink="">
      <xdr:nvSpPr>
        <xdr:cNvPr id="4" name="圓角矩形 1">
          <a:extLst>
            <a:ext uri="{FF2B5EF4-FFF2-40B4-BE49-F238E27FC236}">
              <a16:creationId xmlns:a16="http://schemas.microsoft.com/office/drawing/2014/main" id="{618FB029-2157-4BBE-97F7-026920CC43A7}"/>
            </a:ext>
          </a:extLst>
        </xdr:cNvPr>
        <xdr:cNvSpPr/>
      </xdr:nvSpPr>
      <xdr:spPr>
        <a:xfrm>
          <a:off x="622438" y="2204415"/>
          <a:ext cx="1816376" cy="36319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更新對照表</a:t>
          </a:r>
        </a:p>
      </xdr:txBody>
    </xdr:sp>
    <xdr:clientData/>
  </xdr:twoCellAnchor>
  <xdr:twoCellAnchor>
    <xdr:from>
      <xdr:col>0</xdr:col>
      <xdr:colOff>121920</xdr:colOff>
      <xdr:row>2</xdr:row>
      <xdr:rowOff>15240</xdr:rowOff>
    </xdr:from>
    <xdr:to>
      <xdr:col>0</xdr:col>
      <xdr:colOff>510540</xdr:colOff>
      <xdr:row>4</xdr:row>
      <xdr:rowOff>7620</xdr:rowOff>
    </xdr:to>
    <xdr:sp macro="" textlink="">
      <xdr:nvSpPr>
        <xdr:cNvPr id="2" name="圓形: 空心 1">
          <a:extLst>
            <a:ext uri="{FF2B5EF4-FFF2-40B4-BE49-F238E27FC236}">
              <a16:creationId xmlns:a16="http://schemas.microsoft.com/office/drawing/2014/main" id="{1A075D82-F43C-4214-BF9D-39A3ADE29093}"/>
            </a:ext>
          </a:extLst>
        </xdr:cNvPr>
        <xdr:cNvSpPr/>
      </xdr:nvSpPr>
      <xdr:spPr>
        <a:xfrm>
          <a:off x="121920" y="381000"/>
          <a:ext cx="388620" cy="388620"/>
        </a:xfrm>
        <a:prstGeom prst="donut">
          <a:avLst>
            <a:gd name="adj" fmla="val 112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accent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1</a:t>
          </a:r>
          <a:endParaRPr lang="zh-TW" altLang="en-US" sz="1400" b="1">
            <a:solidFill>
              <a:schemeClr val="accent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111816</xdr:colOff>
      <xdr:row>6</xdr:row>
      <xdr:rowOff>149915</xdr:rowOff>
    </xdr:from>
    <xdr:to>
      <xdr:col>0</xdr:col>
      <xdr:colOff>502341</xdr:colOff>
      <xdr:row>9</xdr:row>
      <xdr:rowOff>35615</xdr:rowOff>
    </xdr:to>
    <xdr:sp macro="" textlink="">
      <xdr:nvSpPr>
        <xdr:cNvPr id="6" name="圓形: 空心 5">
          <a:extLst>
            <a:ext uri="{FF2B5EF4-FFF2-40B4-BE49-F238E27FC236}">
              <a16:creationId xmlns:a16="http://schemas.microsoft.com/office/drawing/2014/main" id="{B0EFAC93-8029-4F20-AF16-0C88B37C86D6}"/>
            </a:ext>
          </a:extLst>
        </xdr:cNvPr>
        <xdr:cNvSpPr/>
      </xdr:nvSpPr>
      <xdr:spPr>
        <a:xfrm>
          <a:off x="111816" y="1301198"/>
          <a:ext cx="390525" cy="407504"/>
        </a:xfrm>
        <a:prstGeom prst="donut">
          <a:avLst>
            <a:gd name="adj" fmla="val 112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accent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2</a:t>
          </a:r>
          <a:endParaRPr lang="zh-TW" altLang="en-US" sz="1400" b="1">
            <a:solidFill>
              <a:schemeClr val="accent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114300</xdr:colOff>
      <xdr:row>11</xdr:row>
      <xdr:rowOff>140970</xdr:rowOff>
    </xdr:from>
    <xdr:to>
      <xdr:col>0</xdr:col>
      <xdr:colOff>506730</xdr:colOff>
      <xdr:row>14</xdr:row>
      <xdr:rowOff>16565</xdr:rowOff>
    </xdr:to>
    <xdr:sp macro="" textlink="">
      <xdr:nvSpPr>
        <xdr:cNvPr id="7" name="圓形: 空心 6">
          <a:extLst>
            <a:ext uri="{FF2B5EF4-FFF2-40B4-BE49-F238E27FC236}">
              <a16:creationId xmlns:a16="http://schemas.microsoft.com/office/drawing/2014/main" id="{7D8CD5D3-817D-4C55-B3EB-1B7C6C40D201}"/>
            </a:ext>
          </a:extLst>
        </xdr:cNvPr>
        <xdr:cNvSpPr/>
      </xdr:nvSpPr>
      <xdr:spPr>
        <a:xfrm>
          <a:off x="114300" y="2161927"/>
          <a:ext cx="392430" cy="422247"/>
        </a:xfrm>
        <a:prstGeom prst="donut">
          <a:avLst>
            <a:gd name="adj" fmla="val 112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accent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3</a:t>
          </a:r>
          <a:endParaRPr lang="zh-TW" altLang="en-US" sz="1400" b="1">
            <a:solidFill>
              <a:schemeClr val="accent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114300</xdr:colOff>
      <xdr:row>22</xdr:row>
      <xdr:rowOff>0</xdr:rowOff>
    </xdr:from>
    <xdr:to>
      <xdr:col>0</xdr:col>
      <xdr:colOff>504825</xdr:colOff>
      <xdr:row>24</xdr:row>
      <xdr:rowOff>47625</xdr:rowOff>
    </xdr:to>
    <xdr:sp macro="" textlink="">
      <xdr:nvSpPr>
        <xdr:cNvPr id="8" name="圓形: 空心 7">
          <a:extLst>
            <a:ext uri="{FF2B5EF4-FFF2-40B4-BE49-F238E27FC236}">
              <a16:creationId xmlns:a16="http://schemas.microsoft.com/office/drawing/2014/main" id="{F204FDAE-B88D-49DD-B62A-9388E4162CD0}"/>
            </a:ext>
          </a:extLst>
        </xdr:cNvPr>
        <xdr:cNvSpPr/>
      </xdr:nvSpPr>
      <xdr:spPr>
        <a:xfrm>
          <a:off x="114300" y="3886200"/>
          <a:ext cx="390525" cy="390525"/>
        </a:xfrm>
        <a:prstGeom prst="donut">
          <a:avLst>
            <a:gd name="adj" fmla="val 112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accent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5</a:t>
          </a:r>
          <a:endParaRPr lang="zh-TW" altLang="en-US" sz="1400" b="1">
            <a:solidFill>
              <a:schemeClr val="accent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7620</xdr:colOff>
      <xdr:row>17</xdr:row>
      <xdr:rowOff>0</xdr:rowOff>
    </xdr:from>
    <xdr:to>
      <xdr:col>3</xdr:col>
      <xdr:colOff>601980</xdr:colOff>
      <xdr:row>19</xdr:row>
      <xdr:rowOff>11430</xdr:rowOff>
    </xdr:to>
    <xdr:sp macro="[0]!UpdateDeliverySheet" textlink="">
      <xdr:nvSpPr>
        <xdr:cNvPr id="9" name="圓角矩形 1">
          <a:extLst>
            <a:ext uri="{FF2B5EF4-FFF2-40B4-BE49-F238E27FC236}">
              <a16:creationId xmlns:a16="http://schemas.microsoft.com/office/drawing/2014/main" id="{4D9C2F87-301E-4931-8676-959E4A90DF17}"/>
            </a:ext>
          </a:extLst>
        </xdr:cNvPr>
        <xdr:cNvSpPr/>
      </xdr:nvSpPr>
      <xdr:spPr>
        <a:xfrm>
          <a:off x="617220" y="2971800"/>
          <a:ext cx="1813560" cy="3467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導出出庫</a:t>
          </a:r>
        </a:p>
      </xdr:txBody>
    </xdr:sp>
    <xdr:clientData/>
  </xdr:twoCellAnchor>
  <xdr:twoCellAnchor>
    <xdr:from>
      <xdr:col>0</xdr:col>
      <xdr:colOff>106680</xdr:colOff>
      <xdr:row>17</xdr:row>
      <xdr:rowOff>0</xdr:rowOff>
    </xdr:from>
    <xdr:to>
      <xdr:col>0</xdr:col>
      <xdr:colOff>497205</xdr:colOff>
      <xdr:row>19</xdr:row>
      <xdr:rowOff>5715</xdr:rowOff>
    </xdr:to>
    <xdr:sp macro="" textlink="">
      <xdr:nvSpPr>
        <xdr:cNvPr id="10" name="圓形: 空心 9">
          <a:extLst>
            <a:ext uri="{FF2B5EF4-FFF2-40B4-BE49-F238E27FC236}">
              <a16:creationId xmlns:a16="http://schemas.microsoft.com/office/drawing/2014/main" id="{D3D1D62C-72EC-4EAB-A7ED-8EFEF7F53A8D}"/>
            </a:ext>
          </a:extLst>
        </xdr:cNvPr>
        <xdr:cNvSpPr/>
      </xdr:nvSpPr>
      <xdr:spPr>
        <a:xfrm>
          <a:off x="106680" y="2987040"/>
          <a:ext cx="390525" cy="390525"/>
        </a:xfrm>
        <a:prstGeom prst="donut">
          <a:avLst>
            <a:gd name="adj" fmla="val 112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solidFill>
                <a:schemeClr val="accent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endParaRPr lang="zh-TW" altLang="en-US" sz="1400" b="1">
            <a:solidFill>
              <a:schemeClr val="accent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9525</xdr:colOff>
      <xdr:row>22</xdr:row>
      <xdr:rowOff>9525</xdr:rowOff>
    </xdr:from>
    <xdr:to>
      <xdr:col>3</xdr:col>
      <xdr:colOff>596265</xdr:colOff>
      <xdr:row>24</xdr:row>
      <xdr:rowOff>28575</xdr:rowOff>
    </xdr:to>
    <xdr:sp macro="[0]!InventoryDetails" textlink="">
      <xdr:nvSpPr>
        <xdr:cNvPr id="11" name="圓角矩形 1">
          <a:extLst>
            <a:ext uri="{FF2B5EF4-FFF2-40B4-BE49-F238E27FC236}">
              <a16:creationId xmlns:a16="http://schemas.microsoft.com/office/drawing/2014/main" id="{579E91B7-1F2B-4DAF-93C1-E6832C17F9D2}"/>
            </a:ext>
          </a:extLst>
        </xdr:cNvPr>
        <xdr:cNvSpPr/>
      </xdr:nvSpPr>
      <xdr:spPr>
        <a:xfrm>
          <a:off x="619125" y="3895725"/>
          <a:ext cx="180594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導出庫存明細</a:t>
          </a:r>
        </a:p>
      </xdr:txBody>
    </xdr:sp>
    <xdr:clientData/>
  </xdr:twoCellAnchor>
  <xdr:twoCellAnchor>
    <xdr:from>
      <xdr:col>8</xdr:col>
      <xdr:colOff>294491</xdr:colOff>
      <xdr:row>9</xdr:row>
      <xdr:rowOff>22860</xdr:rowOff>
    </xdr:from>
    <xdr:to>
      <xdr:col>12</xdr:col>
      <xdr:colOff>601980</xdr:colOff>
      <xdr:row>16</xdr:row>
      <xdr:rowOff>68580</xdr:rowOff>
    </xdr:to>
    <xdr:grpSp>
      <xdr:nvGrpSpPr>
        <xdr:cNvPr id="21" name="群組 20">
          <a:extLst>
            <a:ext uri="{FF2B5EF4-FFF2-40B4-BE49-F238E27FC236}">
              <a16:creationId xmlns:a16="http://schemas.microsoft.com/office/drawing/2014/main" id="{E8AF1216-B97F-4FDC-8552-3D242FF0E344}"/>
            </a:ext>
          </a:extLst>
        </xdr:cNvPr>
        <xdr:cNvGrpSpPr/>
      </xdr:nvGrpSpPr>
      <xdr:grpSpPr>
        <a:xfrm>
          <a:off x="6116171" y="1668780"/>
          <a:ext cx="2745889" cy="1280160"/>
          <a:chOff x="6123791" y="205740"/>
          <a:chExt cx="2745889" cy="1051560"/>
        </a:xfrm>
      </xdr:grpSpPr>
      <xdr:sp macro="" textlink="">
        <xdr:nvSpPr>
          <xdr:cNvPr id="12" name="圓形: 空心 11">
            <a:extLst>
              <a:ext uri="{FF2B5EF4-FFF2-40B4-BE49-F238E27FC236}">
                <a16:creationId xmlns:a16="http://schemas.microsoft.com/office/drawing/2014/main" id="{4C71DCA4-F0FA-493D-91B6-85A4B05C1F4F}"/>
              </a:ext>
            </a:extLst>
          </xdr:cNvPr>
          <xdr:cNvSpPr/>
        </xdr:nvSpPr>
        <xdr:spPr>
          <a:xfrm>
            <a:off x="6123791" y="695213"/>
            <a:ext cx="390525" cy="390076"/>
          </a:xfrm>
          <a:prstGeom prst="donut">
            <a:avLst>
              <a:gd name="adj" fmla="val 11225"/>
            </a:avLst>
          </a:prstGeom>
          <a:solidFill>
            <a:schemeClr val="accent2">
              <a:lumMod val="60000"/>
              <a:lumOff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TW" sz="1400" b="1">
                <a:solidFill>
                  <a:srgbClr val="FF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A</a:t>
            </a:r>
            <a:endParaRPr lang="zh-TW" altLang="en-US" sz="14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[0]!DailyA" textlink="">
        <xdr:nvSpPr>
          <xdr:cNvPr id="14" name="圓角矩形 1">
            <a:extLst>
              <a:ext uri="{FF2B5EF4-FFF2-40B4-BE49-F238E27FC236}">
                <a16:creationId xmlns:a16="http://schemas.microsoft.com/office/drawing/2014/main" id="{E1CEAD31-B183-48C0-A46D-8A5D42DF06FA}"/>
              </a:ext>
            </a:extLst>
          </xdr:cNvPr>
          <xdr:cNvSpPr/>
        </xdr:nvSpPr>
        <xdr:spPr>
          <a:xfrm>
            <a:off x="7048500" y="205740"/>
            <a:ext cx="1821180" cy="350520"/>
          </a:xfrm>
          <a:prstGeom prst="round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TW" altLang="en-US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導出日報表 </a:t>
            </a:r>
            <a:r>
              <a:rPr lang="en-US" altLang="zh-TW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A</a:t>
            </a:r>
            <a:endPara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[0]!MonthA" textlink="">
        <xdr:nvSpPr>
          <xdr:cNvPr id="15" name="圓角矩形 1">
            <a:extLst>
              <a:ext uri="{FF2B5EF4-FFF2-40B4-BE49-F238E27FC236}">
                <a16:creationId xmlns:a16="http://schemas.microsoft.com/office/drawing/2014/main" id="{DCD1FFC3-15E5-406C-9D76-CBA0CCE2B06A}"/>
              </a:ext>
            </a:extLst>
          </xdr:cNvPr>
          <xdr:cNvSpPr/>
        </xdr:nvSpPr>
        <xdr:spPr>
          <a:xfrm>
            <a:off x="7040880" y="906780"/>
            <a:ext cx="1821180" cy="350520"/>
          </a:xfrm>
          <a:prstGeom prst="round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TW" altLang="en-US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導出月報表 </a:t>
            </a:r>
            <a:r>
              <a:rPr lang="en-US" altLang="zh-TW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A</a:t>
            </a:r>
            <a:endPara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cxnSp macro="">
        <xdr:nvCxnSpPr>
          <xdr:cNvPr id="19" name="直線單箭頭接點 18">
            <a:extLst>
              <a:ext uri="{FF2B5EF4-FFF2-40B4-BE49-F238E27FC236}">
                <a16:creationId xmlns:a16="http://schemas.microsoft.com/office/drawing/2014/main" id="{23258AF4-C9DC-4240-886E-5FD60F3F07DE}"/>
              </a:ext>
            </a:extLst>
          </xdr:cNvPr>
          <xdr:cNvCxnSpPr>
            <a:stCxn id="12" idx="7"/>
            <a:endCxn id="14" idx="1"/>
          </xdr:cNvCxnSpPr>
        </xdr:nvCxnSpPr>
        <xdr:spPr>
          <a:xfrm flipV="1">
            <a:off x="6457125" y="381000"/>
            <a:ext cx="591375" cy="371338"/>
          </a:xfrm>
          <a:prstGeom prst="straightConnector1">
            <a:avLst/>
          </a:prstGeom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直線單箭頭接點 19">
            <a:extLst>
              <a:ext uri="{FF2B5EF4-FFF2-40B4-BE49-F238E27FC236}">
                <a16:creationId xmlns:a16="http://schemas.microsoft.com/office/drawing/2014/main" id="{51FCCBBD-DEF5-4805-917C-1AB3CFA5FF52}"/>
              </a:ext>
            </a:extLst>
          </xdr:cNvPr>
          <xdr:cNvCxnSpPr>
            <a:endCxn id="15" idx="1"/>
          </xdr:cNvCxnSpPr>
        </xdr:nvCxnSpPr>
        <xdr:spPr>
          <a:xfrm>
            <a:off x="6487605" y="973318"/>
            <a:ext cx="553275" cy="108722"/>
          </a:xfrm>
          <a:prstGeom prst="straightConnector1">
            <a:avLst/>
          </a:prstGeom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302111</xdr:colOff>
      <xdr:row>18</xdr:row>
      <xdr:rowOff>7620</xdr:rowOff>
    </xdr:from>
    <xdr:to>
      <xdr:col>12</xdr:col>
      <xdr:colOff>594360</xdr:colOff>
      <xdr:row>24</xdr:row>
      <xdr:rowOff>114300</xdr:rowOff>
    </xdr:to>
    <xdr:grpSp>
      <xdr:nvGrpSpPr>
        <xdr:cNvPr id="18" name="群組 17">
          <a:extLst>
            <a:ext uri="{FF2B5EF4-FFF2-40B4-BE49-F238E27FC236}">
              <a16:creationId xmlns:a16="http://schemas.microsoft.com/office/drawing/2014/main" id="{AD6B91D6-12CA-46F1-A2C6-584174B0169F}"/>
            </a:ext>
          </a:extLst>
        </xdr:cNvPr>
        <xdr:cNvGrpSpPr/>
      </xdr:nvGrpSpPr>
      <xdr:grpSpPr>
        <a:xfrm>
          <a:off x="6123791" y="3223260"/>
          <a:ext cx="2730649" cy="1143000"/>
          <a:chOff x="6139031" y="1699260"/>
          <a:chExt cx="2730649" cy="1112520"/>
        </a:xfrm>
      </xdr:grpSpPr>
      <xdr:sp macro="" textlink="">
        <xdr:nvSpPr>
          <xdr:cNvPr id="13" name="圓形: 空心 12">
            <a:extLst>
              <a:ext uri="{FF2B5EF4-FFF2-40B4-BE49-F238E27FC236}">
                <a16:creationId xmlns:a16="http://schemas.microsoft.com/office/drawing/2014/main" id="{D0813DA0-7BA3-49DF-9455-28044A243F8F}"/>
              </a:ext>
            </a:extLst>
          </xdr:cNvPr>
          <xdr:cNvSpPr/>
        </xdr:nvSpPr>
        <xdr:spPr>
          <a:xfrm>
            <a:off x="6139031" y="2013473"/>
            <a:ext cx="390525" cy="390076"/>
          </a:xfrm>
          <a:prstGeom prst="donut">
            <a:avLst>
              <a:gd name="adj" fmla="val 11225"/>
            </a:avLst>
          </a:prstGeom>
          <a:solidFill>
            <a:schemeClr val="accent2">
              <a:lumMod val="60000"/>
              <a:lumOff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TW" sz="1400" b="1">
                <a:solidFill>
                  <a:srgbClr val="FF0000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B</a:t>
            </a:r>
            <a:endParaRPr lang="zh-TW" altLang="en-US" sz="14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[0]!DailyB" textlink="">
        <xdr:nvSpPr>
          <xdr:cNvPr id="16" name="圓角矩形 1">
            <a:extLst>
              <a:ext uri="{FF2B5EF4-FFF2-40B4-BE49-F238E27FC236}">
                <a16:creationId xmlns:a16="http://schemas.microsoft.com/office/drawing/2014/main" id="{20C2790D-671E-437A-9D7F-75C6D120C15B}"/>
              </a:ext>
            </a:extLst>
          </xdr:cNvPr>
          <xdr:cNvSpPr/>
        </xdr:nvSpPr>
        <xdr:spPr>
          <a:xfrm>
            <a:off x="7048500" y="1699260"/>
            <a:ext cx="1821180" cy="350520"/>
          </a:xfrm>
          <a:prstGeom prst="round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TW" altLang="en-US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導出日報表 </a:t>
            </a:r>
            <a:r>
              <a:rPr lang="en-US" altLang="zh-TW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B</a:t>
            </a:r>
            <a:endPara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sp macro="[0]!MonthB" textlink="">
        <xdr:nvSpPr>
          <xdr:cNvPr id="17" name="圓角矩形 1">
            <a:extLst>
              <a:ext uri="{FF2B5EF4-FFF2-40B4-BE49-F238E27FC236}">
                <a16:creationId xmlns:a16="http://schemas.microsoft.com/office/drawing/2014/main" id="{F14425EE-4FAB-4AC6-9EA6-46B3378DAA68}"/>
              </a:ext>
            </a:extLst>
          </xdr:cNvPr>
          <xdr:cNvSpPr/>
        </xdr:nvSpPr>
        <xdr:spPr>
          <a:xfrm>
            <a:off x="7040880" y="2461260"/>
            <a:ext cx="1821180" cy="350520"/>
          </a:xfrm>
          <a:prstGeom prst="round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TW" altLang="en-US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導出月報表 </a:t>
            </a:r>
            <a:r>
              <a:rPr lang="en-US" altLang="zh-TW" sz="11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B</a:t>
            </a:r>
            <a:endPara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xdr:txBody>
      </xdr:sp>
      <xdr:cxnSp macro="">
        <xdr:nvCxnSpPr>
          <xdr:cNvPr id="22" name="直線單箭頭接點 21">
            <a:extLst>
              <a:ext uri="{FF2B5EF4-FFF2-40B4-BE49-F238E27FC236}">
                <a16:creationId xmlns:a16="http://schemas.microsoft.com/office/drawing/2014/main" id="{76924579-0639-4E45-B25C-0FAF8224CEB9}"/>
              </a:ext>
            </a:extLst>
          </xdr:cNvPr>
          <xdr:cNvCxnSpPr>
            <a:endCxn id="16" idx="1"/>
          </xdr:cNvCxnSpPr>
        </xdr:nvCxnSpPr>
        <xdr:spPr>
          <a:xfrm flipV="1">
            <a:off x="6522720" y="1874520"/>
            <a:ext cx="525780" cy="257038"/>
          </a:xfrm>
          <a:prstGeom prst="straightConnector1">
            <a:avLst/>
          </a:prstGeom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4" name="直線單箭頭接點 23">
            <a:extLst>
              <a:ext uri="{FF2B5EF4-FFF2-40B4-BE49-F238E27FC236}">
                <a16:creationId xmlns:a16="http://schemas.microsoft.com/office/drawing/2014/main" id="{CDBE2A3A-D0D3-49BA-96C3-8C91B752AC7E}"/>
              </a:ext>
            </a:extLst>
          </xdr:cNvPr>
          <xdr:cNvCxnSpPr>
            <a:endCxn id="17" idx="1"/>
          </xdr:cNvCxnSpPr>
        </xdr:nvCxnSpPr>
        <xdr:spPr>
          <a:xfrm>
            <a:off x="6423660" y="2383018"/>
            <a:ext cx="617220" cy="253502"/>
          </a:xfrm>
          <a:prstGeom prst="straightConnector1">
            <a:avLst/>
          </a:prstGeom>
          <a:ln w="19050">
            <a:solidFill>
              <a:schemeClr val="accent2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220980</xdr:colOff>
      <xdr:row>1</xdr:row>
      <xdr:rowOff>22860</xdr:rowOff>
    </xdr:from>
    <xdr:to>
      <xdr:col>12</xdr:col>
      <xdr:colOff>53340</xdr:colOff>
      <xdr:row>7</xdr:row>
      <xdr:rowOff>60960</xdr:rowOff>
    </xdr:to>
    <xdr:sp macro="[0]!YahooTemp" textlink="">
      <xdr:nvSpPr>
        <xdr:cNvPr id="27" name="箭號: 有線條的向右箭號 26">
          <a:extLst>
            <a:ext uri="{FF2B5EF4-FFF2-40B4-BE49-F238E27FC236}">
              <a16:creationId xmlns:a16="http://schemas.microsoft.com/office/drawing/2014/main" id="{0AE843D3-FA4E-4A62-A7AB-0ACE017715C0}"/>
            </a:ext>
          </a:extLst>
        </xdr:cNvPr>
        <xdr:cNvSpPr/>
      </xdr:nvSpPr>
      <xdr:spPr>
        <a:xfrm rot="5400000">
          <a:off x="7200900" y="259080"/>
          <a:ext cx="1173480" cy="1051560"/>
        </a:xfrm>
        <a:prstGeom prst="stripedRightArrow">
          <a:avLst>
            <a:gd name="adj1" fmla="val 57317"/>
            <a:gd name="adj2" fmla="val 45307"/>
          </a:avLst>
        </a:prstGeom>
        <a:solidFill>
          <a:srgbClr val="7030A0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雅虎導日報表</a:t>
          </a:r>
        </a:p>
      </xdr:txBody>
    </xdr:sp>
    <xdr:clientData/>
  </xdr:twoCellAnchor>
  <xdr:twoCellAnchor>
    <xdr:from>
      <xdr:col>12</xdr:col>
      <xdr:colOff>335280</xdr:colOff>
      <xdr:row>1</xdr:row>
      <xdr:rowOff>22860</xdr:rowOff>
    </xdr:from>
    <xdr:to>
      <xdr:col>14</xdr:col>
      <xdr:colOff>167640</xdr:colOff>
      <xdr:row>7</xdr:row>
      <xdr:rowOff>60960</xdr:rowOff>
    </xdr:to>
    <xdr:sp macro="[0]!RutenTemp" textlink="">
      <xdr:nvSpPr>
        <xdr:cNvPr id="28" name="箭號: 有線條的向右箭號 27">
          <a:extLst>
            <a:ext uri="{FF2B5EF4-FFF2-40B4-BE49-F238E27FC236}">
              <a16:creationId xmlns:a16="http://schemas.microsoft.com/office/drawing/2014/main" id="{B9879A46-963C-4CE9-B63E-244017BA40D1}"/>
            </a:ext>
          </a:extLst>
        </xdr:cNvPr>
        <xdr:cNvSpPr/>
      </xdr:nvSpPr>
      <xdr:spPr>
        <a:xfrm rot="5400000">
          <a:off x="8534400" y="259080"/>
          <a:ext cx="1173480" cy="1051560"/>
        </a:xfrm>
        <a:prstGeom prst="stripedRightArrow">
          <a:avLst>
            <a:gd name="adj1" fmla="val 57317"/>
            <a:gd name="adj2" fmla="val 45307"/>
          </a:avLst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露天導日報表</a:t>
          </a:r>
        </a:p>
      </xdr:txBody>
    </xdr:sp>
    <xdr:clientData/>
  </xdr:twoCellAnchor>
  <xdr:twoCellAnchor>
    <xdr:from>
      <xdr:col>8</xdr:col>
      <xdr:colOff>76200</xdr:colOff>
      <xdr:row>1</xdr:row>
      <xdr:rowOff>22860</xdr:rowOff>
    </xdr:from>
    <xdr:to>
      <xdr:col>9</xdr:col>
      <xdr:colOff>518160</xdr:colOff>
      <xdr:row>7</xdr:row>
      <xdr:rowOff>60960</xdr:rowOff>
    </xdr:to>
    <xdr:sp macro="[0]!ShopeeTemp" textlink="">
      <xdr:nvSpPr>
        <xdr:cNvPr id="29" name="箭號: 有線條的向右箭號 28">
          <a:extLst>
            <a:ext uri="{FF2B5EF4-FFF2-40B4-BE49-F238E27FC236}">
              <a16:creationId xmlns:a16="http://schemas.microsoft.com/office/drawing/2014/main" id="{9542782B-BE34-466D-8E33-6DEA032A0079}"/>
            </a:ext>
          </a:extLst>
        </xdr:cNvPr>
        <xdr:cNvSpPr/>
      </xdr:nvSpPr>
      <xdr:spPr>
        <a:xfrm rot="5400000">
          <a:off x="5836920" y="259080"/>
          <a:ext cx="1173480" cy="1051560"/>
        </a:xfrm>
        <a:prstGeom prst="stripedRightArrow">
          <a:avLst>
            <a:gd name="adj1" fmla="val 57317"/>
            <a:gd name="adj2" fmla="val 45307"/>
          </a:avLst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蝦皮導日報表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3</xdr:row>
      <xdr:rowOff>7620</xdr:rowOff>
    </xdr:from>
    <xdr:to>
      <xdr:col>9</xdr:col>
      <xdr:colOff>586740</xdr:colOff>
      <xdr:row>5</xdr:row>
      <xdr:rowOff>7620</xdr:rowOff>
    </xdr:to>
    <xdr:sp macro="[0]!AutoBringOut" textlink="">
      <xdr:nvSpPr>
        <xdr:cNvPr id="2" name="圓角矩形 1">
          <a:extLst>
            <a:ext uri="{FF2B5EF4-FFF2-40B4-BE49-F238E27FC236}">
              <a16:creationId xmlns:a16="http://schemas.microsoft.com/office/drawing/2014/main" id="{374EBE28-2CDF-4EFC-88BF-E7073C9DB2E3}"/>
            </a:ext>
          </a:extLst>
        </xdr:cNvPr>
        <xdr:cNvSpPr/>
      </xdr:nvSpPr>
      <xdr:spPr>
        <a:xfrm>
          <a:off x="9197340" y="601980"/>
          <a:ext cx="1813560" cy="39624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微軟正黑體" panose="020B0604030504040204" pitchFamily="34" charset="-120"/>
              <a:ea typeface="微軟正黑體" panose="020B0604030504040204" pitchFamily="34" charset="-120"/>
            </a:rPr>
            <a:t>自動帶出貨號、入庫人</a:t>
          </a:r>
        </a:p>
      </xdr:txBody>
    </xdr:sp>
    <xdr:clientData/>
  </xdr:twoCellAnchor>
  <xdr:twoCellAnchor>
    <xdr:from>
      <xdr:col>8</xdr:col>
      <xdr:colOff>251460</xdr:colOff>
      <xdr:row>5</xdr:row>
      <xdr:rowOff>129540</xdr:rowOff>
    </xdr:from>
    <xdr:to>
      <xdr:col>8</xdr:col>
      <xdr:colOff>251460</xdr:colOff>
      <xdr:row>8</xdr:row>
      <xdr:rowOff>53340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56224350-2238-497F-88C7-CD0033A0EACF}"/>
            </a:ext>
          </a:extLst>
        </xdr:cNvPr>
        <xdr:cNvCxnSpPr/>
      </xdr:nvCxnSpPr>
      <xdr:spPr>
        <a:xfrm flipV="1">
          <a:off x="10066020" y="1120140"/>
          <a:ext cx="0" cy="51816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579120</xdr:colOff>
      <xdr:row>8</xdr:row>
      <xdr:rowOff>144780</xdr:rowOff>
    </xdr:from>
    <xdr:to>
      <xdr:col>9</xdr:col>
      <xdr:colOff>518160</xdr:colOff>
      <xdr:row>10</xdr:row>
      <xdr:rowOff>99060</xdr:rowOff>
    </xdr:to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10CFD626-BD07-4383-8CE2-184E9AE7FA41}"/>
            </a:ext>
          </a:extLst>
        </xdr:cNvPr>
        <xdr:cNvSpPr txBox="1"/>
      </xdr:nvSpPr>
      <xdr:spPr>
        <a:xfrm>
          <a:off x="9174480" y="1729740"/>
          <a:ext cx="1767840" cy="35052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2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入庫品名皆填寫完畢時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</xdr:colOff>
      <xdr:row>0</xdr:row>
      <xdr:rowOff>0</xdr:rowOff>
    </xdr:from>
    <xdr:to>
      <xdr:col>20</xdr:col>
      <xdr:colOff>601980</xdr:colOff>
      <xdr:row>22</xdr:row>
      <xdr:rowOff>161924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1DEE6DFE-4037-4701-A955-A472A89F9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472440</xdr:colOff>
      <xdr:row>17</xdr:row>
      <xdr:rowOff>53340</xdr:rowOff>
    </xdr:from>
    <xdr:to>
      <xdr:col>6</xdr:col>
      <xdr:colOff>213360</xdr:colOff>
      <xdr:row>19</xdr:row>
      <xdr:rowOff>68580</xdr:rowOff>
    </xdr:to>
    <xdr:sp macro="[0]!data_visualization" textlink="">
      <xdr:nvSpPr>
        <xdr:cNvPr id="7" name="箭號: 五邊形 6">
          <a:extLst>
            <a:ext uri="{FF2B5EF4-FFF2-40B4-BE49-F238E27FC236}">
              <a16:creationId xmlns:a16="http://schemas.microsoft.com/office/drawing/2014/main" id="{74D021B0-5D05-454A-8613-24A9D315265F}"/>
            </a:ext>
          </a:extLst>
        </xdr:cNvPr>
        <xdr:cNvSpPr/>
      </xdr:nvSpPr>
      <xdr:spPr>
        <a:xfrm>
          <a:off x="3672840" y="3002280"/>
          <a:ext cx="1379220" cy="365760"/>
        </a:xfrm>
        <a:prstGeom prst="homePlat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轉換圖表</a:t>
          </a:r>
          <a:endParaRPr lang="en-US" altLang="zh-TW" sz="12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476250</xdr:colOff>
      <xdr:row>15</xdr:row>
      <xdr:rowOff>19050</xdr:rowOff>
    </xdr:from>
    <xdr:to>
      <xdr:col>2</xdr:col>
      <xdr:colOff>438150</xdr:colOff>
      <xdr:row>18</xdr:row>
      <xdr:rowOff>152400</xdr:rowOff>
    </xdr:to>
    <xdr:sp macro="" textlink="">
      <xdr:nvSpPr>
        <xdr:cNvPr id="8" name="語音泡泡: 橢圓形 7">
          <a:extLst>
            <a:ext uri="{FF2B5EF4-FFF2-40B4-BE49-F238E27FC236}">
              <a16:creationId xmlns:a16="http://schemas.microsoft.com/office/drawing/2014/main" id="{D39B6205-5FBA-4F3C-8FB7-96D387E58887}"/>
            </a:ext>
          </a:extLst>
        </xdr:cNvPr>
        <xdr:cNvSpPr/>
      </xdr:nvSpPr>
      <xdr:spPr>
        <a:xfrm>
          <a:off x="476250" y="2590800"/>
          <a:ext cx="1562100" cy="647700"/>
        </a:xfrm>
        <a:prstGeom prst="wedgeEllipseCallout">
          <a:avLst>
            <a:gd name="adj1" fmla="val 30564"/>
            <a:gd name="adj2" fmla="val -64423"/>
          </a:avLst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勿改動上表 </a:t>
          </a:r>
          <a:r>
            <a:rPr lang="en-US" altLang="zh-TW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!</a:t>
          </a:r>
          <a:endParaRPr lang="zh-TW" altLang="en-US" sz="12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133350</xdr:colOff>
      <xdr:row>20</xdr:row>
      <xdr:rowOff>97155</xdr:rowOff>
    </xdr:from>
    <xdr:to>
      <xdr:col>2</xdr:col>
      <xdr:colOff>95250</xdr:colOff>
      <xdr:row>24</xdr:row>
      <xdr:rowOff>72390</xdr:rowOff>
    </xdr:to>
    <xdr:sp macro="" textlink="">
      <xdr:nvSpPr>
        <xdr:cNvPr id="14" name="語音泡泡: 橢圓形 13">
          <a:extLst>
            <a:ext uri="{FF2B5EF4-FFF2-40B4-BE49-F238E27FC236}">
              <a16:creationId xmlns:a16="http://schemas.microsoft.com/office/drawing/2014/main" id="{5751A12B-094B-4269-9611-80C5E86CEF09}"/>
            </a:ext>
          </a:extLst>
        </xdr:cNvPr>
        <xdr:cNvSpPr/>
      </xdr:nvSpPr>
      <xdr:spPr>
        <a:xfrm>
          <a:off x="133350" y="3526155"/>
          <a:ext cx="1562100" cy="661035"/>
        </a:xfrm>
        <a:prstGeom prst="wedgeEllipseCallout">
          <a:avLst>
            <a:gd name="adj1" fmla="val 9223"/>
            <a:gd name="adj2" fmla="val 75346"/>
          </a:avLst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勿改動下表 </a:t>
          </a:r>
          <a:r>
            <a:rPr lang="en-US" altLang="zh-TW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!</a:t>
          </a:r>
          <a:endParaRPr lang="zh-TW" altLang="en-US" sz="12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7</xdr:col>
      <xdr:colOff>438150</xdr:colOff>
      <xdr:row>24</xdr:row>
      <xdr:rowOff>75247</xdr:rowOff>
    </xdr:from>
    <xdr:to>
      <xdr:col>15</xdr:col>
      <xdr:colOff>567690</xdr:colOff>
      <xdr:row>40</xdr:row>
      <xdr:rowOff>75247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854F0A3C-E2EA-4666-BA65-C04D8237A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495300</xdr:colOff>
      <xdr:row>35</xdr:row>
      <xdr:rowOff>150495</xdr:rowOff>
    </xdr:from>
    <xdr:to>
      <xdr:col>5</xdr:col>
      <xdr:colOff>457200</xdr:colOff>
      <xdr:row>37</xdr:row>
      <xdr:rowOff>154305</xdr:rowOff>
    </xdr:to>
    <xdr:sp macro="[0]!SingleItemVsualization" textlink="">
      <xdr:nvSpPr>
        <xdr:cNvPr id="16" name="箭號: 五邊形 15">
          <a:extLst>
            <a:ext uri="{FF2B5EF4-FFF2-40B4-BE49-F238E27FC236}">
              <a16:creationId xmlns:a16="http://schemas.microsoft.com/office/drawing/2014/main" id="{F9B7959F-B2A2-41A1-9C3F-D8F2777B55ED}"/>
            </a:ext>
          </a:extLst>
        </xdr:cNvPr>
        <xdr:cNvSpPr/>
      </xdr:nvSpPr>
      <xdr:spPr>
        <a:xfrm>
          <a:off x="2895600" y="6179820"/>
          <a:ext cx="1371600" cy="346710"/>
        </a:xfrm>
        <a:prstGeom prst="homePlat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>
              <a:latin typeface="微軟正黑體" panose="020B0604030504040204" pitchFamily="34" charset="-120"/>
              <a:ea typeface="微軟正黑體" panose="020B0604030504040204" pitchFamily="34" charset="-120"/>
            </a:rPr>
            <a:t>轉換圖表</a:t>
          </a:r>
          <a:endParaRPr lang="en-US" altLang="zh-TW" sz="12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259080</xdr:colOff>
      <xdr:row>28</xdr:row>
      <xdr:rowOff>158115</xdr:rowOff>
    </xdr:from>
    <xdr:to>
      <xdr:col>19</xdr:col>
      <xdr:colOff>407670</xdr:colOff>
      <xdr:row>31</xdr:row>
      <xdr:rowOff>173355</xdr:rowOff>
    </xdr:to>
    <xdr:sp macro="[0]!SpecRanking" textlink="">
      <xdr:nvSpPr>
        <xdr:cNvPr id="17" name="箭號: 五邊形 16">
          <a:extLst>
            <a:ext uri="{FF2B5EF4-FFF2-40B4-BE49-F238E27FC236}">
              <a16:creationId xmlns:a16="http://schemas.microsoft.com/office/drawing/2014/main" id="{34F727BE-5859-4175-B42D-89397D901C9D}"/>
            </a:ext>
          </a:extLst>
        </xdr:cNvPr>
        <xdr:cNvSpPr/>
      </xdr:nvSpPr>
      <xdr:spPr>
        <a:xfrm>
          <a:off x="12885420" y="5034915"/>
          <a:ext cx="1977390" cy="556260"/>
        </a:xfrm>
        <a:prstGeom prst="homePlat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zh-TW" sz="1100" b="1">
              <a:solidFill>
                <a:schemeClr val="bg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單品規格銷售量排行表</a:t>
          </a:r>
          <a:endParaRPr lang="en-US" altLang="zh-TW" sz="1200" b="1">
            <a:solidFill>
              <a:schemeClr val="bg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3</xdr:col>
      <xdr:colOff>310515</xdr:colOff>
      <xdr:row>27</xdr:row>
      <xdr:rowOff>100965</xdr:rowOff>
    </xdr:from>
    <xdr:to>
      <xdr:col>5</xdr:col>
      <xdr:colOff>600075</xdr:colOff>
      <xdr:row>29</xdr:row>
      <xdr:rowOff>120015</xdr:rowOff>
    </xdr:to>
    <xdr:sp macro="[0]!SingleItemSearch" textlink="">
      <xdr:nvSpPr>
        <xdr:cNvPr id="2" name="矩形: 按鈕形 1">
          <a:extLst>
            <a:ext uri="{FF2B5EF4-FFF2-40B4-BE49-F238E27FC236}">
              <a16:creationId xmlns:a16="http://schemas.microsoft.com/office/drawing/2014/main" id="{564A22E9-2D3A-4244-BD4B-6FDF46F82DBB}"/>
            </a:ext>
          </a:extLst>
        </xdr:cNvPr>
        <xdr:cNvSpPr/>
      </xdr:nvSpPr>
      <xdr:spPr>
        <a:xfrm>
          <a:off x="3853815" y="4758690"/>
          <a:ext cx="2099310" cy="371475"/>
        </a:xfrm>
        <a:prstGeom prst="bevel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chemeClr val="bg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更新所有單品清單</a:t>
          </a:r>
        </a:p>
      </xdr:txBody>
    </xdr:sp>
    <xdr:clientData/>
  </xdr:twoCellAnchor>
  <xdr:twoCellAnchor>
    <xdr:from>
      <xdr:col>0</xdr:col>
      <xdr:colOff>85725</xdr:colOff>
      <xdr:row>40</xdr:row>
      <xdr:rowOff>66675</xdr:rowOff>
    </xdr:from>
    <xdr:to>
      <xdr:col>0</xdr:col>
      <xdr:colOff>1788795</xdr:colOff>
      <xdr:row>42</xdr:row>
      <xdr:rowOff>72390</xdr:rowOff>
    </xdr:to>
    <xdr:sp macro="[0]!SalesRanking" textlink="">
      <xdr:nvSpPr>
        <xdr:cNvPr id="10" name="矩形: 按鈕形 9">
          <a:extLst>
            <a:ext uri="{FF2B5EF4-FFF2-40B4-BE49-F238E27FC236}">
              <a16:creationId xmlns:a16="http://schemas.microsoft.com/office/drawing/2014/main" id="{5A8F650C-B957-4F6F-9833-C6647E678CCA}"/>
            </a:ext>
          </a:extLst>
        </xdr:cNvPr>
        <xdr:cNvSpPr/>
      </xdr:nvSpPr>
      <xdr:spPr>
        <a:xfrm>
          <a:off x="85725" y="6962775"/>
          <a:ext cx="1703070" cy="348615"/>
        </a:xfrm>
        <a:prstGeom prst="bevel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chemeClr val="bg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商品銷售額排行總表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FF00"/>
  </sheetPr>
  <dimension ref="A1:S46"/>
  <sheetViews>
    <sheetView zoomScaleNormal="100" workbookViewId="0">
      <selection activeCell="R13" sqref="R13"/>
    </sheetView>
  </sheetViews>
  <sheetFormatPr defaultRowHeight="13.2" x14ac:dyDescent="0.25"/>
  <cols>
    <col min="6" max="6" width="22.6640625" bestFit="1" customWidth="1"/>
  </cols>
  <sheetData>
    <row r="1" spans="1:19" ht="13.8" thickBot="1" x14ac:dyDescent="0.3"/>
    <row r="2" spans="1:19" ht="15.6" x14ac:dyDescent="0.25">
      <c r="F2" s="113" t="s">
        <v>193</v>
      </c>
      <c r="G2" s="113"/>
      <c r="P2" s="28"/>
      <c r="Q2" s="29" t="s">
        <v>207</v>
      </c>
      <c r="R2" s="30" t="s">
        <v>204</v>
      </c>
      <c r="S2" s="31" t="s">
        <v>208</v>
      </c>
    </row>
    <row r="3" spans="1:19" ht="15.6" x14ac:dyDescent="0.25">
      <c r="A3" s="10"/>
      <c r="B3" s="10"/>
      <c r="C3" s="10"/>
      <c r="D3" s="10"/>
      <c r="E3" s="10"/>
      <c r="F3" s="13" t="s">
        <v>185</v>
      </c>
      <c r="G3" s="12" t="s">
        <v>208</v>
      </c>
      <c r="H3" s="10"/>
      <c r="P3" s="32" t="s">
        <v>206</v>
      </c>
      <c r="Q3" s="33">
        <v>1000</v>
      </c>
      <c r="R3" s="33">
        <v>1000</v>
      </c>
      <c r="S3" s="34">
        <v>1000</v>
      </c>
    </row>
    <row r="4" spans="1:19" ht="16.2" thickBot="1" x14ac:dyDescent="0.3">
      <c r="A4" s="10"/>
      <c r="B4" s="10"/>
      <c r="C4" s="10"/>
      <c r="D4" s="10"/>
      <c r="E4" s="10"/>
      <c r="F4" s="13" t="s">
        <v>195</v>
      </c>
      <c r="G4" s="128" t="s">
        <v>996</v>
      </c>
      <c r="H4" s="10"/>
      <c r="P4" s="35" t="s">
        <v>205</v>
      </c>
      <c r="Q4" s="36">
        <v>60</v>
      </c>
      <c r="R4" s="36">
        <v>60</v>
      </c>
      <c r="S4" s="37">
        <v>60</v>
      </c>
    </row>
    <row r="5" spans="1:19" ht="15.6" x14ac:dyDescent="0.25">
      <c r="A5" s="10"/>
      <c r="B5" s="10"/>
      <c r="C5" s="10"/>
      <c r="D5" s="10"/>
      <c r="E5" s="10"/>
      <c r="F5" s="13" t="s">
        <v>194</v>
      </c>
      <c r="G5" s="128" t="s">
        <v>996</v>
      </c>
      <c r="H5" s="10"/>
    </row>
    <row r="6" spans="1:19" x14ac:dyDescent="0.25">
      <c r="A6" s="10"/>
      <c r="B6" s="10"/>
      <c r="C6" s="10"/>
      <c r="D6" s="10"/>
      <c r="E6" s="10"/>
      <c r="F6" s="10"/>
      <c r="G6" s="10"/>
      <c r="H6" s="10"/>
    </row>
    <row r="7" spans="1:19" x14ac:dyDescent="0.25">
      <c r="A7" s="10"/>
      <c r="B7" s="10"/>
      <c r="C7" s="10"/>
      <c r="D7" s="10"/>
      <c r="E7" s="10"/>
      <c r="F7" s="10"/>
      <c r="G7" s="10"/>
      <c r="H7" s="10"/>
    </row>
    <row r="8" spans="1:19" x14ac:dyDescent="0.25">
      <c r="A8" s="10"/>
      <c r="B8" s="10"/>
      <c r="C8" s="10"/>
      <c r="D8" s="10"/>
      <c r="E8" s="10"/>
      <c r="F8" s="113" t="s">
        <v>196</v>
      </c>
      <c r="G8" s="114">
        <v>0</v>
      </c>
      <c r="H8" s="10"/>
    </row>
    <row r="9" spans="1:19" x14ac:dyDescent="0.25">
      <c r="A9" s="10"/>
      <c r="B9" s="10"/>
      <c r="C9" s="10"/>
      <c r="D9" s="10"/>
      <c r="E9" s="10"/>
      <c r="F9" s="113"/>
      <c r="G9" s="115"/>
      <c r="H9" s="10"/>
    </row>
    <row r="10" spans="1:19" x14ac:dyDescent="0.25">
      <c r="A10" s="10"/>
      <c r="B10" s="10"/>
      <c r="C10" s="10"/>
      <c r="D10" s="10"/>
      <c r="E10" s="10"/>
      <c r="F10" s="3"/>
      <c r="G10" s="10"/>
      <c r="H10" s="10"/>
    </row>
    <row r="11" spans="1:19" x14ac:dyDescent="0.25">
      <c r="A11" s="10"/>
      <c r="B11" s="10"/>
      <c r="C11" s="10"/>
      <c r="D11" s="10"/>
      <c r="E11" s="10"/>
      <c r="F11" s="3"/>
      <c r="G11" s="10"/>
      <c r="H11" s="10"/>
    </row>
    <row r="12" spans="1:19" x14ac:dyDescent="0.25">
      <c r="A12" s="10"/>
      <c r="B12" s="10"/>
      <c r="C12" s="10"/>
      <c r="D12" s="10"/>
      <c r="E12" s="10"/>
      <c r="F12" s="3"/>
      <c r="G12" s="10"/>
      <c r="H12" s="10"/>
    </row>
    <row r="13" spans="1:19" ht="15.6" customHeight="1" x14ac:dyDescent="0.25">
      <c r="A13" s="10"/>
      <c r="B13" s="10"/>
      <c r="C13" s="10"/>
      <c r="D13" s="10"/>
      <c r="E13" s="10"/>
      <c r="F13" s="116" t="s">
        <v>198</v>
      </c>
      <c r="G13" s="114">
        <v>0</v>
      </c>
      <c r="H13" s="10"/>
    </row>
    <row r="14" spans="1:19" x14ac:dyDescent="0.25">
      <c r="A14" s="10"/>
      <c r="B14" s="10"/>
      <c r="C14" s="10"/>
      <c r="D14" s="10"/>
      <c r="E14" s="10"/>
      <c r="F14" s="117"/>
      <c r="G14" s="118"/>
      <c r="H14" s="10"/>
    </row>
    <row r="15" spans="1:19" ht="15.6" x14ac:dyDescent="0.25">
      <c r="A15" s="10"/>
      <c r="B15" s="10"/>
      <c r="C15" s="10"/>
      <c r="D15" s="10"/>
      <c r="E15" s="10"/>
      <c r="F15" s="47"/>
      <c r="G15" s="46"/>
      <c r="H15" s="10"/>
    </row>
    <row r="16" spans="1:19" x14ac:dyDescent="0.25">
      <c r="A16" s="10"/>
      <c r="B16" s="10"/>
      <c r="C16" s="10"/>
      <c r="D16" s="10"/>
      <c r="E16" s="10"/>
      <c r="F16" s="3"/>
      <c r="G16" s="10"/>
      <c r="H16" s="10"/>
    </row>
    <row r="17" spans="1:8" x14ac:dyDescent="0.25">
      <c r="A17" s="10"/>
      <c r="B17" s="10"/>
      <c r="C17" s="10"/>
      <c r="D17" s="10"/>
      <c r="E17" s="10"/>
      <c r="F17" s="3"/>
      <c r="G17" s="10"/>
      <c r="H17" s="10"/>
    </row>
    <row r="18" spans="1:8" x14ac:dyDescent="0.25">
      <c r="A18" s="10"/>
      <c r="B18" s="10"/>
      <c r="C18" s="10"/>
      <c r="D18" s="10"/>
      <c r="E18" s="10"/>
      <c r="F18" s="113" t="s">
        <v>196</v>
      </c>
      <c r="G18" s="114">
        <v>0</v>
      </c>
      <c r="H18" s="10"/>
    </row>
    <row r="19" spans="1:8" x14ac:dyDescent="0.25">
      <c r="A19" s="10"/>
      <c r="B19" s="10"/>
      <c r="C19" s="10"/>
      <c r="D19" s="10"/>
      <c r="E19" s="10"/>
      <c r="F19" s="113"/>
      <c r="G19" s="115"/>
      <c r="H19" s="10"/>
    </row>
    <row r="20" spans="1:8" ht="15.6" x14ac:dyDescent="0.25">
      <c r="A20" s="10"/>
      <c r="B20" s="10"/>
      <c r="C20" s="10"/>
      <c r="D20" s="10"/>
      <c r="E20" s="10"/>
      <c r="F20" s="3"/>
      <c r="G20" s="44"/>
      <c r="H20" s="10"/>
    </row>
    <row r="21" spans="1:8" x14ac:dyDescent="0.25">
      <c r="A21" s="10"/>
      <c r="B21" s="10"/>
      <c r="C21" s="10"/>
      <c r="D21" s="10"/>
      <c r="E21" s="10"/>
      <c r="F21" s="3"/>
      <c r="G21" s="10"/>
      <c r="H21" s="10"/>
    </row>
    <row r="22" spans="1:8" x14ac:dyDescent="0.25">
      <c r="A22" s="10"/>
      <c r="B22" s="10"/>
      <c r="C22" s="10"/>
      <c r="D22" s="10"/>
      <c r="E22" s="10"/>
      <c r="F22" s="3"/>
      <c r="G22" s="10"/>
      <c r="H22" s="10"/>
    </row>
    <row r="23" spans="1:8" x14ac:dyDescent="0.25">
      <c r="A23" s="10"/>
      <c r="B23" s="10"/>
      <c r="C23" s="10"/>
      <c r="D23" s="10"/>
      <c r="E23" s="10"/>
      <c r="F23" s="113" t="s">
        <v>196</v>
      </c>
      <c r="G23" s="114">
        <v>0</v>
      </c>
      <c r="H23" s="10"/>
    </row>
    <row r="24" spans="1:8" x14ac:dyDescent="0.25">
      <c r="A24" s="10"/>
      <c r="B24" s="10"/>
      <c r="C24" s="10"/>
      <c r="D24" s="10"/>
      <c r="E24" s="10"/>
      <c r="F24" s="113"/>
      <c r="G24" s="115"/>
      <c r="H24" s="10"/>
    </row>
    <row r="25" spans="1:8" x14ac:dyDescent="0.25">
      <c r="A25" s="10"/>
      <c r="B25" s="10"/>
      <c r="C25" s="10"/>
      <c r="D25" s="10"/>
      <c r="E25" s="10"/>
      <c r="F25" s="10"/>
      <c r="G25" s="10"/>
      <c r="H25" s="10"/>
    </row>
    <row r="26" spans="1:8" x14ac:dyDescent="0.25">
      <c r="A26" s="10"/>
      <c r="B26" s="10"/>
      <c r="C26" s="10"/>
      <c r="D26" s="10"/>
      <c r="E26" s="10"/>
      <c r="F26" s="10"/>
      <c r="G26" s="10"/>
      <c r="H26" s="10"/>
    </row>
    <row r="27" spans="1:8" x14ac:dyDescent="0.25">
      <c r="A27" s="10"/>
      <c r="B27" s="10"/>
      <c r="C27" s="10"/>
      <c r="D27" s="10"/>
      <c r="E27" s="10"/>
      <c r="F27" s="10"/>
      <c r="G27" s="10"/>
      <c r="H27" s="10"/>
    </row>
    <row r="28" spans="1:8" x14ac:dyDescent="0.25">
      <c r="A28" s="10"/>
      <c r="B28" s="10"/>
      <c r="C28" s="10"/>
      <c r="D28" s="10"/>
      <c r="E28" s="10"/>
      <c r="F28" s="10"/>
      <c r="G28" s="10"/>
      <c r="H28" s="10"/>
    </row>
    <row r="29" spans="1:8" x14ac:dyDescent="0.25">
      <c r="A29" s="10"/>
      <c r="B29" s="10"/>
      <c r="C29" s="10"/>
      <c r="D29" s="10"/>
      <c r="E29" s="10"/>
      <c r="F29" s="10"/>
      <c r="G29" s="10"/>
      <c r="H29" s="10"/>
    </row>
    <row r="30" spans="1:8" x14ac:dyDescent="0.25">
      <c r="A30" s="10"/>
      <c r="B30" s="10"/>
      <c r="C30" s="10"/>
      <c r="D30" s="10"/>
      <c r="E30" s="10"/>
      <c r="F30" s="10"/>
      <c r="G30" s="10"/>
      <c r="H30" s="10"/>
    </row>
    <row r="31" spans="1:8" x14ac:dyDescent="0.25">
      <c r="A31" s="10"/>
      <c r="B31" s="10"/>
      <c r="C31" s="10"/>
      <c r="D31" s="10"/>
      <c r="E31" s="10"/>
      <c r="F31" s="10"/>
      <c r="G31" s="10"/>
      <c r="H31" s="10"/>
    </row>
    <row r="32" spans="1:8" x14ac:dyDescent="0.25">
      <c r="A32" s="10"/>
      <c r="B32" s="10"/>
      <c r="C32" s="10"/>
      <c r="D32" s="10"/>
      <c r="E32" s="10"/>
      <c r="F32" s="10"/>
      <c r="G32" s="10"/>
      <c r="H32" s="10"/>
    </row>
    <row r="33" spans="1:8" x14ac:dyDescent="0.25">
      <c r="A33" s="10"/>
      <c r="B33" s="10"/>
      <c r="C33" s="10"/>
      <c r="D33" s="10"/>
      <c r="E33" s="10"/>
      <c r="F33" s="10"/>
      <c r="G33" s="10"/>
      <c r="H33" s="10"/>
    </row>
    <row r="34" spans="1:8" x14ac:dyDescent="0.25">
      <c r="A34" s="10"/>
      <c r="B34" s="10"/>
      <c r="C34" s="10"/>
      <c r="D34" s="10"/>
      <c r="E34" s="10"/>
      <c r="F34" s="10"/>
      <c r="G34" s="10"/>
      <c r="H34" s="10"/>
    </row>
    <row r="35" spans="1:8" x14ac:dyDescent="0.25">
      <c r="A35" s="10"/>
      <c r="B35" s="10"/>
      <c r="C35" s="10"/>
      <c r="D35" s="10"/>
      <c r="E35" s="10"/>
      <c r="F35" s="10"/>
      <c r="G35" s="10"/>
      <c r="H35" s="10"/>
    </row>
    <row r="36" spans="1:8" x14ac:dyDescent="0.25">
      <c r="A36" s="10"/>
      <c r="B36" s="10"/>
      <c r="C36" s="10"/>
      <c r="D36" s="10"/>
      <c r="E36" s="10"/>
      <c r="F36" s="10"/>
      <c r="G36" s="10"/>
      <c r="H36" s="10"/>
    </row>
    <row r="37" spans="1:8" x14ac:dyDescent="0.25">
      <c r="A37" s="10"/>
      <c r="B37" s="10"/>
      <c r="C37" s="10"/>
      <c r="D37" s="10"/>
      <c r="E37" s="10"/>
      <c r="F37" s="10"/>
      <c r="G37" s="10"/>
      <c r="H37" s="10"/>
    </row>
    <row r="38" spans="1:8" x14ac:dyDescent="0.25">
      <c r="A38" s="10"/>
      <c r="B38" s="10"/>
      <c r="C38" s="10"/>
      <c r="D38" s="10"/>
      <c r="E38" s="10"/>
      <c r="F38" s="10"/>
      <c r="G38" s="10"/>
      <c r="H38" s="10"/>
    </row>
    <row r="39" spans="1:8" x14ac:dyDescent="0.25">
      <c r="A39" s="10"/>
      <c r="B39" s="10"/>
      <c r="C39" s="10"/>
      <c r="D39" s="10"/>
      <c r="E39" s="10"/>
      <c r="F39" s="10"/>
      <c r="G39" s="10"/>
      <c r="H39" s="10"/>
    </row>
    <row r="40" spans="1:8" x14ac:dyDescent="0.25">
      <c r="A40" s="10"/>
      <c r="B40" s="10"/>
      <c r="C40" s="10"/>
      <c r="D40" s="10"/>
      <c r="E40" s="10"/>
      <c r="F40" s="10"/>
      <c r="G40" s="10"/>
      <c r="H40" s="10"/>
    </row>
    <row r="41" spans="1:8" x14ac:dyDescent="0.25">
      <c r="A41" s="10"/>
      <c r="B41" s="10"/>
      <c r="C41" s="10"/>
      <c r="D41" s="10"/>
      <c r="E41" s="10"/>
      <c r="F41" s="10"/>
      <c r="G41" s="10"/>
      <c r="H41" s="10"/>
    </row>
    <row r="42" spans="1:8" x14ac:dyDescent="0.25">
      <c r="A42" s="10"/>
      <c r="B42" s="10"/>
      <c r="C42" s="10"/>
      <c r="D42" s="10"/>
      <c r="E42" s="10"/>
      <c r="F42" s="10"/>
      <c r="G42" s="10"/>
      <c r="H42" s="10"/>
    </row>
    <row r="43" spans="1:8" x14ac:dyDescent="0.25">
      <c r="A43" s="10"/>
      <c r="B43" s="10"/>
      <c r="C43" s="10"/>
      <c r="D43" s="10"/>
      <c r="E43" s="10"/>
      <c r="F43" s="10"/>
      <c r="G43" s="10"/>
      <c r="H43" s="10"/>
    </row>
    <row r="44" spans="1:8" x14ac:dyDescent="0.25">
      <c r="A44" s="10"/>
      <c r="B44" s="10"/>
      <c r="C44" s="10"/>
      <c r="D44" s="10"/>
      <c r="E44" s="10"/>
      <c r="F44" s="10"/>
      <c r="G44" s="10"/>
      <c r="H44" s="10"/>
    </row>
    <row r="45" spans="1:8" x14ac:dyDescent="0.25">
      <c r="A45" s="10"/>
      <c r="B45" s="10"/>
      <c r="C45" s="10"/>
      <c r="D45" s="10"/>
      <c r="E45" s="10"/>
      <c r="F45" s="10"/>
      <c r="G45" s="10"/>
      <c r="H45" s="10"/>
    </row>
    <row r="46" spans="1:8" x14ac:dyDescent="0.25">
      <c r="A46" s="10"/>
      <c r="B46" s="10"/>
      <c r="C46" s="10"/>
      <c r="D46" s="10"/>
      <c r="E46" s="10"/>
      <c r="F46" s="10"/>
      <c r="G46" s="10"/>
      <c r="H46" s="10"/>
    </row>
  </sheetData>
  <mergeCells count="9">
    <mergeCell ref="F23:F24"/>
    <mergeCell ref="G23:G24"/>
    <mergeCell ref="F18:F19"/>
    <mergeCell ref="G18:G19"/>
    <mergeCell ref="F2:G2"/>
    <mergeCell ref="F8:F9"/>
    <mergeCell ref="G8:G9"/>
    <mergeCell ref="F13:F14"/>
    <mergeCell ref="G13:G1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3"/>
  <dimension ref="A1:D131"/>
  <sheetViews>
    <sheetView workbookViewId="0">
      <selection activeCell="H18" sqref="H18"/>
    </sheetView>
  </sheetViews>
  <sheetFormatPr defaultColWidth="8.88671875" defaultRowHeight="15.6" x14ac:dyDescent="0.25"/>
  <cols>
    <col min="1" max="1" width="37.33203125" style="11" bestFit="1" customWidth="1"/>
    <col min="2" max="2" width="17.21875" style="16" bestFit="1" customWidth="1"/>
    <col min="3" max="3" width="12.5546875" style="11" bestFit="1" customWidth="1"/>
    <col min="4" max="4" width="8.21875" style="11" bestFit="1" customWidth="1"/>
    <col min="5" max="16384" width="8.88671875" style="15"/>
  </cols>
  <sheetData>
    <row r="1" spans="1:4" x14ac:dyDescent="0.25">
      <c r="A1" s="94" t="s">
        <v>189</v>
      </c>
      <c r="B1" s="14" t="s">
        <v>190</v>
      </c>
      <c r="C1" s="94" t="s">
        <v>73</v>
      </c>
      <c r="D1" s="94" t="s">
        <v>84</v>
      </c>
    </row>
    <row r="2" spans="1:4" x14ac:dyDescent="0.25">
      <c r="A2" s="15" t="s">
        <v>211</v>
      </c>
      <c r="B2" s="15"/>
      <c r="C2" s="15" t="s">
        <v>255</v>
      </c>
      <c r="D2" s="15" t="s">
        <v>265</v>
      </c>
    </row>
    <row r="3" spans="1:4" x14ac:dyDescent="0.25">
      <c r="A3" s="15" t="s">
        <v>212</v>
      </c>
      <c r="B3" s="15"/>
      <c r="C3" s="15" t="s">
        <v>255</v>
      </c>
      <c r="D3" s="15" t="s">
        <v>265</v>
      </c>
    </row>
    <row r="4" spans="1:4" x14ac:dyDescent="0.25">
      <c r="A4" s="15" t="s">
        <v>213</v>
      </c>
      <c r="B4" s="15"/>
      <c r="C4" s="15" t="s">
        <v>255</v>
      </c>
      <c r="D4" s="15" t="s">
        <v>265</v>
      </c>
    </row>
    <row r="5" spans="1:4" x14ac:dyDescent="0.25">
      <c r="A5" s="15" t="s">
        <v>214</v>
      </c>
      <c r="B5" s="15"/>
      <c r="C5" s="15" t="s">
        <v>255</v>
      </c>
      <c r="D5" s="15" t="s">
        <v>265</v>
      </c>
    </row>
    <row r="6" spans="1:4" x14ac:dyDescent="0.25">
      <c r="A6" s="15" t="s">
        <v>215</v>
      </c>
      <c r="B6" s="15"/>
      <c r="C6" s="15" t="s">
        <v>255</v>
      </c>
      <c r="D6" s="15" t="s">
        <v>265</v>
      </c>
    </row>
    <row r="7" spans="1:4" x14ac:dyDescent="0.25">
      <c r="A7" s="15" t="s">
        <v>216</v>
      </c>
      <c r="B7" s="15"/>
      <c r="C7" s="15" t="s">
        <v>255</v>
      </c>
      <c r="D7" s="15" t="s">
        <v>265</v>
      </c>
    </row>
    <row r="8" spans="1:4" x14ac:dyDescent="0.25">
      <c r="A8" s="15" t="s">
        <v>217</v>
      </c>
      <c r="B8" s="15"/>
      <c r="C8" s="15" t="s">
        <v>255</v>
      </c>
      <c r="D8" s="15" t="s">
        <v>265</v>
      </c>
    </row>
    <row r="9" spans="1:4" x14ac:dyDescent="0.25">
      <c r="A9" s="15" t="s">
        <v>218</v>
      </c>
      <c r="B9" s="15"/>
      <c r="C9" s="15" t="s">
        <v>255</v>
      </c>
      <c r="D9" s="15" t="s">
        <v>265</v>
      </c>
    </row>
    <row r="10" spans="1:4" x14ac:dyDescent="0.25">
      <c r="A10" s="15" t="s">
        <v>219</v>
      </c>
      <c r="B10" s="15"/>
      <c r="C10" s="15" t="s">
        <v>255</v>
      </c>
      <c r="D10" s="15" t="s">
        <v>265</v>
      </c>
    </row>
    <row r="11" spans="1:4" x14ac:dyDescent="0.25">
      <c r="A11" s="15" t="s">
        <v>220</v>
      </c>
      <c r="B11" s="15"/>
      <c r="C11" s="15" t="s">
        <v>255</v>
      </c>
      <c r="D11" s="15" t="s">
        <v>265</v>
      </c>
    </row>
    <row r="12" spans="1:4" x14ac:dyDescent="0.25">
      <c r="A12" s="15" t="s">
        <v>254</v>
      </c>
      <c r="B12" s="15"/>
      <c r="C12" s="15" t="s">
        <v>255</v>
      </c>
      <c r="D12" s="15" t="s">
        <v>265</v>
      </c>
    </row>
    <row r="13" spans="1:4" x14ac:dyDescent="0.25">
      <c r="A13" s="15" t="s">
        <v>221</v>
      </c>
      <c r="B13" s="15"/>
      <c r="C13" s="15" t="s">
        <v>256</v>
      </c>
      <c r="D13" s="15" t="s">
        <v>265</v>
      </c>
    </row>
    <row r="14" spans="1:4" x14ac:dyDescent="0.25">
      <c r="A14" s="15" t="s">
        <v>222</v>
      </c>
      <c r="B14" s="15"/>
      <c r="C14" s="15" t="s">
        <v>256</v>
      </c>
      <c r="D14" s="15" t="s">
        <v>265</v>
      </c>
    </row>
    <row r="15" spans="1:4" x14ac:dyDescent="0.25">
      <c r="A15" s="15" t="s">
        <v>225</v>
      </c>
      <c r="B15" s="15"/>
      <c r="C15" s="15" t="s">
        <v>258</v>
      </c>
      <c r="D15" s="15" t="s">
        <v>265</v>
      </c>
    </row>
    <row r="16" spans="1:4" x14ac:dyDescent="0.25">
      <c r="A16" s="15" t="s">
        <v>226</v>
      </c>
      <c r="B16" s="15"/>
      <c r="C16" s="15" t="s">
        <v>258</v>
      </c>
      <c r="D16" s="15" t="s">
        <v>265</v>
      </c>
    </row>
    <row r="17" spans="1:4" x14ac:dyDescent="0.25">
      <c r="A17" s="15" t="s">
        <v>227</v>
      </c>
      <c r="B17" s="15"/>
      <c r="C17" s="15" t="s">
        <v>258</v>
      </c>
      <c r="D17" s="15" t="s">
        <v>265</v>
      </c>
    </row>
    <row r="18" spans="1:4" x14ac:dyDescent="0.25">
      <c r="A18" s="15" t="s">
        <v>228</v>
      </c>
      <c r="B18" s="15"/>
      <c r="C18" s="15" t="s">
        <v>259</v>
      </c>
      <c r="D18" s="15" t="s">
        <v>265</v>
      </c>
    </row>
    <row r="19" spans="1:4" x14ac:dyDescent="0.25">
      <c r="A19" s="15" t="s">
        <v>229</v>
      </c>
      <c r="B19" s="15"/>
      <c r="C19" s="15" t="s">
        <v>259</v>
      </c>
      <c r="D19" s="15" t="s">
        <v>265</v>
      </c>
    </row>
    <row r="20" spans="1:4" x14ac:dyDescent="0.25">
      <c r="A20" s="15" t="s">
        <v>230</v>
      </c>
      <c r="B20" s="15"/>
      <c r="C20" s="15" t="s">
        <v>259</v>
      </c>
      <c r="D20" s="15" t="s">
        <v>265</v>
      </c>
    </row>
    <row r="21" spans="1:4" x14ac:dyDescent="0.25">
      <c r="A21" s="15" t="s">
        <v>231</v>
      </c>
      <c r="B21" s="15"/>
      <c r="C21" s="15" t="s">
        <v>259</v>
      </c>
      <c r="D21" s="15" t="s">
        <v>265</v>
      </c>
    </row>
    <row r="22" spans="1:4" x14ac:dyDescent="0.25">
      <c r="A22" s="15" t="s">
        <v>232</v>
      </c>
      <c r="B22" s="15"/>
      <c r="C22" s="15" t="s">
        <v>260</v>
      </c>
      <c r="D22" s="15" t="s">
        <v>265</v>
      </c>
    </row>
    <row r="23" spans="1:4" x14ac:dyDescent="0.25">
      <c r="A23" s="15" t="s">
        <v>233</v>
      </c>
      <c r="B23" s="15"/>
      <c r="C23" s="15" t="s">
        <v>260</v>
      </c>
      <c r="D23" s="15" t="s">
        <v>265</v>
      </c>
    </row>
    <row r="24" spans="1:4" x14ac:dyDescent="0.25">
      <c r="A24" s="15" t="s">
        <v>234</v>
      </c>
      <c r="B24" s="15"/>
      <c r="C24" s="15" t="s">
        <v>260</v>
      </c>
      <c r="D24" s="15" t="s">
        <v>265</v>
      </c>
    </row>
    <row r="25" spans="1:4" x14ac:dyDescent="0.25">
      <c r="A25" s="15" t="s">
        <v>235</v>
      </c>
      <c r="B25" s="15"/>
      <c r="C25" s="15" t="s">
        <v>260</v>
      </c>
      <c r="D25" s="15" t="s">
        <v>265</v>
      </c>
    </row>
    <row r="26" spans="1:4" x14ac:dyDescent="0.25">
      <c r="A26" s="15" t="s">
        <v>236</v>
      </c>
      <c r="B26" s="15"/>
      <c r="C26" s="15" t="s">
        <v>261</v>
      </c>
      <c r="D26" s="15" t="s">
        <v>266</v>
      </c>
    </row>
    <row r="27" spans="1:4" x14ac:dyDescent="0.25">
      <c r="A27" s="15" t="s">
        <v>237</v>
      </c>
      <c r="B27" s="15"/>
      <c r="C27" s="15" t="s">
        <v>261</v>
      </c>
      <c r="D27" s="15" t="s">
        <v>266</v>
      </c>
    </row>
    <row r="28" spans="1:4" x14ac:dyDescent="0.25">
      <c r="A28" s="15" t="s">
        <v>238</v>
      </c>
      <c r="B28" s="15"/>
      <c r="C28" s="15" t="s">
        <v>262</v>
      </c>
      <c r="D28" s="15" t="s">
        <v>265</v>
      </c>
    </row>
    <row r="29" spans="1:4" x14ac:dyDescent="0.25">
      <c r="A29" s="15" t="s">
        <v>239</v>
      </c>
      <c r="B29" s="15"/>
      <c r="C29" s="15" t="s">
        <v>262</v>
      </c>
      <c r="D29" s="15" t="s">
        <v>265</v>
      </c>
    </row>
    <row r="30" spans="1:4" x14ac:dyDescent="0.25">
      <c r="A30" s="15" t="s">
        <v>240</v>
      </c>
      <c r="B30" s="15"/>
      <c r="C30" s="15" t="s">
        <v>262</v>
      </c>
      <c r="D30" s="15" t="s">
        <v>265</v>
      </c>
    </row>
    <row r="31" spans="1:4" x14ac:dyDescent="0.25">
      <c r="A31" s="15" t="s">
        <v>241</v>
      </c>
      <c r="B31" s="15"/>
      <c r="C31" s="15" t="s">
        <v>262</v>
      </c>
      <c r="D31" s="15" t="s">
        <v>265</v>
      </c>
    </row>
    <row r="32" spans="1:4" x14ac:dyDescent="0.25">
      <c r="A32" s="15" t="s">
        <v>242</v>
      </c>
      <c r="B32" s="15"/>
      <c r="C32" s="15" t="s">
        <v>262</v>
      </c>
      <c r="D32" s="15" t="s">
        <v>265</v>
      </c>
    </row>
    <row r="33" spans="1:4" x14ac:dyDescent="0.25">
      <c r="A33" s="15" t="s">
        <v>243</v>
      </c>
      <c r="B33" s="15"/>
      <c r="C33" s="15" t="s">
        <v>262</v>
      </c>
      <c r="D33" s="15" t="s">
        <v>265</v>
      </c>
    </row>
    <row r="34" spans="1:4" x14ac:dyDescent="0.25">
      <c r="A34" s="15" t="s">
        <v>244</v>
      </c>
      <c r="B34" s="15"/>
      <c r="C34" s="15" t="s">
        <v>262</v>
      </c>
      <c r="D34" s="15" t="s">
        <v>265</v>
      </c>
    </row>
    <row r="35" spans="1:4" x14ac:dyDescent="0.25">
      <c r="A35" s="15" t="s">
        <v>245</v>
      </c>
      <c r="B35" s="15"/>
      <c r="C35" s="15" t="s">
        <v>263</v>
      </c>
      <c r="D35" s="15" t="s">
        <v>265</v>
      </c>
    </row>
    <row r="36" spans="1:4" x14ac:dyDescent="0.25">
      <c r="A36" s="15" t="s">
        <v>246</v>
      </c>
      <c r="B36" s="15"/>
      <c r="C36" s="15" t="s">
        <v>263</v>
      </c>
      <c r="D36" s="15" t="s">
        <v>265</v>
      </c>
    </row>
    <row r="37" spans="1:4" x14ac:dyDescent="0.25">
      <c r="A37" s="15" t="s">
        <v>247</v>
      </c>
      <c r="B37" s="15"/>
      <c r="C37" s="15" t="s">
        <v>263</v>
      </c>
      <c r="D37" s="15" t="s">
        <v>265</v>
      </c>
    </row>
    <row r="38" spans="1:4" x14ac:dyDescent="0.25">
      <c r="A38" s="15" t="s">
        <v>248</v>
      </c>
      <c r="B38" s="15"/>
      <c r="C38" s="15" t="s">
        <v>263</v>
      </c>
      <c r="D38" s="15" t="s">
        <v>265</v>
      </c>
    </row>
    <row r="39" spans="1:4" x14ac:dyDescent="0.25">
      <c r="A39" s="15" t="s">
        <v>249</v>
      </c>
      <c r="B39" s="15"/>
      <c r="C39" s="15" t="s">
        <v>263</v>
      </c>
      <c r="D39" s="15" t="s">
        <v>265</v>
      </c>
    </row>
    <row r="40" spans="1:4" x14ac:dyDescent="0.25">
      <c r="A40" s="15" t="s">
        <v>250</v>
      </c>
      <c r="B40" s="15"/>
      <c r="C40" s="15" t="s">
        <v>263</v>
      </c>
      <c r="D40" s="15" t="s">
        <v>265</v>
      </c>
    </row>
    <row r="41" spans="1:4" x14ac:dyDescent="0.25">
      <c r="A41" s="15" t="s">
        <v>251</v>
      </c>
      <c r="B41" s="15"/>
      <c r="C41" s="15" t="s">
        <v>264</v>
      </c>
      <c r="D41" s="15" t="s">
        <v>265</v>
      </c>
    </row>
    <row r="42" spans="1:4" x14ac:dyDescent="0.25">
      <c r="A42" s="15" t="s">
        <v>252</v>
      </c>
      <c r="B42" s="15"/>
      <c r="C42" s="15" t="s">
        <v>264</v>
      </c>
      <c r="D42" s="15" t="s">
        <v>265</v>
      </c>
    </row>
    <row r="43" spans="1:4" x14ac:dyDescent="0.25">
      <c r="A43" s="15" t="s">
        <v>253</v>
      </c>
      <c r="B43" s="15"/>
      <c r="C43" s="15" t="s">
        <v>264</v>
      </c>
      <c r="D43" s="15" t="s">
        <v>265</v>
      </c>
    </row>
    <row r="44" spans="1:4" x14ac:dyDescent="0.25">
      <c r="A44" s="15" t="s">
        <v>223</v>
      </c>
      <c r="B44" s="15"/>
      <c r="C44" s="15" t="s">
        <v>257</v>
      </c>
      <c r="D44" s="15" t="s">
        <v>266</v>
      </c>
    </row>
    <row r="45" spans="1:4" x14ac:dyDescent="0.25">
      <c r="A45" s="15" t="s">
        <v>224</v>
      </c>
      <c r="B45" s="15"/>
      <c r="C45" s="15" t="s">
        <v>257</v>
      </c>
      <c r="D45" s="15" t="s">
        <v>266</v>
      </c>
    </row>
    <row r="46" spans="1:4" x14ac:dyDescent="0.25">
      <c r="A46" s="15" t="s">
        <v>804</v>
      </c>
      <c r="B46" s="15"/>
      <c r="C46" s="15" t="s">
        <v>784</v>
      </c>
      <c r="D46" s="15" t="s">
        <v>265</v>
      </c>
    </row>
    <row r="47" spans="1:4" x14ac:dyDescent="0.25">
      <c r="A47" s="15" t="s">
        <v>803</v>
      </c>
      <c r="B47" s="15"/>
      <c r="C47" s="15" t="s">
        <v>782</v>
      </c>
      <c r="D47" s="15" t="s">
        <v>265</v>
      </c>
    </row>
    <row r="48" spans="1:4" x14ac:dyDescent="0.25">
      <c r="A48" s="15"/>
      <c r="B48" s="15"/>
      <c r="C48" s="15"/>
      <c r="D48" s="15"/>
    </row>
    <row r="49" s="15" customFormat="1" x14ac:dyDescent="0.25"/>
    <row r="50" s="15" customFormat="1" x14ac:dyDescent="0.25"/>
    <row r="51" s="15" customFormat="1" x14ac:dyDescent="0.25"/>
    <row r="52" s="15" customFormat="1" x14ac:dyDescent="0.25"/>
    <row r="53" s="15" customFormat="1" x14ac:dyDescent="0.25"/>
    <row r="54" s="15" customFormat="1" x14ac:dyDescent="0.25"/>
    <row r="55" s="15" customFormat="1" x14ac:dyDescent="0.25"/>
    <row r="56" s="15" customFormat="1" x14ac:dyDescent="0.25"/>
    <row r="57" s="15" customFormat="1" x14ac:dyDescent="0.25"/>
    <row r="58" s="15" customFormat="1" x14ac:dyDescent="0.25"/>
    <row r="59" s="15" customFormat="1" x14ac:dyDescent="0.25"/>
    <row r="60" s="15" customFormat="1" x14ac:dyDescent="0.25"/>
    <row r="61" s="15" customFormat="1" x14ac:dyDescent="0.25"/>
    <row r="62" s="15" customFormat="1" x14ac:dyDescent="0.25"/>
    <row r="63" s="15" customFormat="1" x14ac:dyDescent="0.25"/>
    <row r="64" s="15" customFormat="1" x14ac:dyDescent="0.25"/>
    <row r="65" s="15" customFormat="1" x14ac:dyDescent="0.25"/>
    <row r="66" s="15" customFormat="1" x14ac:dyDescent="0.25"/>
    <row r="67" s="15" customFormat="1" x14ac:dyDescent="0.25"/>
    <row r="68" s="15" customFormat="1" x14ac:dyDescent="0.25"/>
    <row r="69" s="15" customFormat="1" x14ac:dyDescent="0.25"/>
    <row r="70" s="15" customFormat="1" x14ac:dyDescent="0.25"/>
    <row r="71" s="15" customFormat="1" x14ac:dyDescent="0.25"/>
    <row r="72" s="15" customFormat="1" x14ac:dyDescent="0.25"/>
    <row r="73" s="15" customFormat="1" x14ac:dyDescent="0.25"/>
    <row r="74" s="15" customFormat="1" x14ac:dyDescent="0.25"/>
    <row r="75" s="15" customFormat="1" x14ac:dyDescent="0.25"/>
    <row r="76" s="15" customFormat="1" x14ac:dyDescent="0.25"/>
    <row r="77" s="15" customFormat="1" x14ac:dyDescent="0.25"/>
    <row r="78" s="15" customFormat="1" x14ac:dyDescent="0.25"/>
    <row r="79" s="15" customFormat="1" x14ac:dyDescent="0.25"/>
    <row r="80" s="15" customFormat="1" x14ac:dyDescent="0.25"/>
    <row r="81" s="15" customFormat="1" x14ac:dyDescent="0.25"/>
    <row r="82" s="15" customFormat="1" x14ac:dyDescent="0.25"/>
    <row r="83" s="15" customFormat="1" x14ac:dyDescent="0.25"/>
    <row r="84" s="15" customFormat="1" x14ac:dyDescent="0.25"/>
    <row r="85" s="15" customFormat="1" x14ac:dyDescent="0.25"/>
    <row r="86" s="15" customFormat="1" x14ac:dyDescent="0.25"/>
    <row r="87" s="15" customFormat="1" x14ac:dyDescent="0.25"/>
    <row r="88" s="15" customFormat="1" x14ac:dyDescent="0.25"/>
    <row r="89" s="15" customFormat="1" x14ac:dyDescent="0.25"/>
    <row r="90" s="15" customFormat="1" x14ac:dyDescent="0.25"/>
    <row r="91" s="15" customFormat="1" x14ac:dyDescent="0.25"/>
    <row r="92" s="15" customFormat="1" x14ac:dyDescent="0.25"/>
    <row r="93" s="15" customFormat="1" x14ac:dyDescent="0.25"/>
    <row r="94" s="15" customFormat="1" x14ac:dyDescent="0.25"/>
    <row r="95" s="15" customFormat="1" x14ac:dyDescent="0.25"/>
    <row r="96" s="15" customFormat="1" x14ac:dyDescent="0.25"/>
    <row r="97" s="15" customFormat="1" x14ac:dyDescent="0.25"/>
    <row r="98" s="15" customFormat="1" x14ac:dyDescent="0.25"/>
    <row r="99" s="15" customFormat="1" x14ac:dyDescent="0.25"/>
    <row r="100" s="15" customFormat="1" x14ac:dyDescent="0.25"/>
    <row r="101" s="15" customFormat="1" x14ac:dyDescent="0.25"/>
    <row r="102" s="15" customFormat="1" x14ac:dyDescent="0.25"/>
    <row r="103" s="15" customFormat="1" x14ac:dyDescent="0.25"/>
    <row r="104" s="15" customFormat="1" x14ac:dyDescent="0.25"/>
    <row r="105" s="15" customFormat="1" x14ac:dyDescent="0.25"/>
    <row r="106" s="15" customFormat="1" x14ac:dyDescent="0.25"/>
    <row r="107" s="15" customFormat="1" x14ac:dyDescent="0.25"/>
    <row r="108" s="15" customFormat="1" x14ac:dyDescent="0.25"/>
    <row r="109" s="15" customFormat="1" x14ac:dyDescent="0.25"/>
    <row r="110" s="15" customFormat="1" x14ac:dyDescent="0.25"/>
    <row r="111" s="15" customFormat="1" x14ac:dyDescent="0.25"/>
    <row r="112" s="15" customFormat="1" x14ac:dyDescent="0.25"/>
    <row r="113" s="15" customFormat="1" x14ac:dyDescent="0.25"/>
    <row r="114" s="15" customFormat="1" x14ac:dyDescent="0.25"/>
    <row r="115" s="15" customFormat="1" x14ac:dyDescent="0.25"/>
    <row r="116" s="15" customFormat="1" x14ac:dyDescent="0.25"/>
    <row r="117" s="15" customFormat="1" x14ac:dyDescent="0.25"/>
    <row r="118" s="15" customFormat="1" x14ac:dyDescent="0.25"/>
    <row r="119" s="15" customFormat="1" x14ac:dyDescent="0.25"/>
    <row r="120" s="15" customFormat="1" x14ac:dyDescent="0.25"/>
    <row r="121" s="15" customFormat="1" x14ac:dyDescent="0.25"/>
    <row r="122" s="15" customFormat="1" x14ac:dyDescent="0.25"/>
    <row r="123" s="15" customFormat="1" x14ac:dyDescent="0.25"/>
    <row r="124" s="15" customFormat="1" x14ac:dyDescent="0.25"/>
    <row r="125" s="15" customFormat="1" x14ac:dyDescent="0.25"/>
    <row r="126" s="15" customFormat="1" x14ac:dyDescent="0.25"/>
    <row r="127" s="15" customFormat="1" x14ac:dyDescent="0.25"/>
    <row r="128" s="15" customFormat="1" x14ac:dyDescent="0.25"/>
    <row r="129" s="15" customFormat="1" x14ac:dyDescent="0.25"/>
    <row r="130" s="15" customFormat="1" x14ac:dyDescent="0.25"/>
    <row r="131" s="15" customFormat="1" x14ac:dyDescent="0.25"/>
  </sheetData>
  <sortState xmlns:xlrd2="http://schemas.microsoft.com/office/spreadsheetml/2017/richdata2" ref="A2:D47">
    <sortCondition ref="C1:C47"/>
  </sortState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4">
    <tabColor rgb="FFFFFF00"/>
  </sheetPr>
  <dimension ref="A1:F93"/>
  <sheetViews>
    <sheetView topLeftCell="A58" zoomScale="85" zoomScaleNormal="85" workbookViewId="0">
      <selection activeCell="A85" sqref="A85"/>
    </sheetView>
  </sheetViews>
  <sheetFormatPr defaultColWidth="8.88671875" defaultRowHeight="15.6" x14ac:dyDescent="0.25"/>
  <cols>
    <col min="1" max="1" width="94.21875" style="15" bestFit="1" customWidth="1"/>
    <col min="2" max="2" width="6.21875" style="15" bestFit="1" customWidth="1"/>
    <col min="3" max="3" width="17.77734375" style="15" bestFit="1" customWidth="1"/>
    <col min="4" max="4" width="8.77734375" style="15" customWidth="1"/>
    <col min="5" max="5" width="30.77734375" style="15" customWidth="1"/>
    <col min="6" max="6" width="8.44140625" style="15" bestFit="1" customWidth="1"/>
    <col min="7" max="16384" width="8.88671875" style="15"/>
  </cols>
  <sheetData>
    <row r="1" spans="1:6" x14ac:dyDescent="0.25">
      <c r="A1" s="94" t="s">
        <v>200</v>
      </c>
      <c r="B1" s="94" t="s">
        <v>185</v>
      </c>
      <c r="C1" s="12" t="s">
        <v>190</v>
      </c>
      <c r="D1" s="94" t="s">
        <v>197</v>
      </c>
      <c r="E1" s="94" t="s">
        <v>189</v>
      </c>
      <c r="F1" s="94" t="s">
        <v>84</v>
      </c>
    </row>
    <row r="2" spans="1:6" x14ac:dyDescent="0.25">
      <c r="A2" s="15" t="s">
        <v>267</v>
      </c>
      <c r="B2" s="17" t="s">
        <v>306</v>
      </c>
      <c r="D2" s="15" t="s">
        <v>349</v>
      </c>
      <c r="E2" s="15" t="s">
        <v>221</v>
      </c>
      <c r="F2" s="15" t="s">
        <v>126</v>
      </c>
    </row>
    <row r="3" spans="1:6" x14ac:dyDescent="0.25">
      <c r="A3" s="15" t="s">
        <v>268</v>
      </c>
      <c r="B3" s="17" t="s">
        <v>306</v>
      </c>
      <c r="D3" s="15" t="s">
        <v>349</v>
      </c>
      <c r="E3" s="15" t="s">
        <v>222</v>
      </c>
      <c r="F3" s="15" t="s">
        <v>126</v>
      </c>
    </row>
    <row r="4" spans="1:6" x14ac:dyDescent="0.25">
      <c r="A4" s="15" t="s">
        <v>269</v>
      </c>
      <c r="B4" s="17" t="s">
        <v>306</v>
      </c>
      <c r="D4" s="15" t="s">
        <v>122</v>
      </c>
      <c r="E4" s="15" t="s">
        <v>329</v>
      </c>
      <c r="F4" s="15" t="s">
        <v>126</v>
      </c>
    </row>
    <row r="5" spans="1:6" x14ac:dyDescent="0.25">
      <c r="A5" s="15" t="s">
        <v>270</v>
      </c>
      <c r="B5" s="17" t="s">
        <v>306</v>
      </c>
      <c r="D5" s="15" t="s">
        <v>122</v>
      </c>
      <c r="E5" s="15" t="s">
        <v>330</v>
      </c>
      <c r="F5" s="15" t="s">
        <v>126</v>
      </c>
    </row>
    <row r="6" spans="1:6" x14ac:dyDescent="0.25">
      <c r="A6" s="15" t="s">
        <v>271</v>
      </c>
      <c r="B6" s="17" t="s">
        <v>306</v>
      </c>
      <c r="D6" s="15" t="s">
        <v>122</v>
      </c>
      <c r="E6" s="15" t="s">
        <v>331</v>
      </c>
      <c r="F6" s="15" t="s">
        <v>126</v>
      </c>
    </row>
    <row r="7" spans="1:6" x14ac:dyDescent="0.25">
      <c r="A7" s="15" t="s">
        <v>272</v>
      </c>
      <c r="B7" s="17" t="s">
        <v>306</v>
      </c>
      <c r="D7" s="15" t="s">
        <v>122</v>
      </c>
      <c r="E7" s="15" t="s">
        <v>332</v>
      </c>
      <c r="F7" s="15" t="s">
        <v>126</v>
      </c>
    </row>
    <row r="8" spans="1:6" x14ac:dyDescent="0.25">
      <c r="A8" s="15" t="s">
        <v>273</v>
      </c>
      <c r="B8" s="17" t="s">
        <v>306</v>
      </c>
      <c r="D8" s="15" t="s">
        <v>120</v>
      </c>
      <c r="E8" s="15" t="s">
        <v>333</v>
      </c>
      <c r="F8" s="15" t="s">
        <v>127</v>
      </c>
    </row>
    <row r="9" spans="1:6" x14ac:dyDescent="0.25">
      <c r="A9" s="15" t="s">
        <v>274</v>
      </c>
      <c r="B9" s="17" t="s">
        <v>306</v>
      </c>
      <c r="D9" s="15" t="s">
        <v>120</v>
      </c>
      <c r="E9" s="15" t="s">
        <v>334</v>
      </c>
      <c r="F9" s="15" t="s">
        <v>127</v>
      </c>
    </row>
    <row r="10" spans="1:6" x14ac:dyDescent="0.25">
      <c r="A10" s="15" t="s">
        <v>275</v>
      </c>
      <c r="B10" s="17" t="s">
        <v>306</v>
      </c>
      <c r="D10" s="15" t="s">
        <v>201</v>
      </c>
      <c r="E10" s="15" t="s">
        <v>335</v>
      </c>
      <c r="F10" s="15" t="s">
        <v>126</v>
      </c>
    </row>
    <row r="11" spans="1:6" x14ac:dyDescent="0.25">
      <c r="A11" s="15" t="s">
        <v>276</v>
      </c>
      <c r="B11" s="17" t="s">
        <v>306</v>
      </c>
      <c r="D11" s="15" t="s">
        <v>201</v>
      </c>
      <c r="E11" s="15" t="s">
        <v>336</v>
      </c>
      <c r="F11" s="15" t="s">
        <v>126</v>
      </c>
    </row>
    <row r="12" spans="1:6" x14ac:dyDescent="0.25">
      <c r="A12" s="15" t="s">
        <v>277</v>
      </c>
      <c r="B12" s="17" t="s">
        <v>306</v>
      </c>
      <c r="D12" s="15" t="s">
        <v>201</v>
      </c>
      <c r="E12" s="15" t="s">
        <v>337</v>
      </c>
      <c r="F12" s="15" t="s">
        <v>126</v>
      </c>
    </row>
    <row r="13" spans="1:6" x14ac:dyDescent="0.25">
      <c r="A13" s="15" t="s">
        <v>278</v>
      </c>
      <c r="B13" s="17" t="s">
        <v>306</v>
      </c>
      <c r="D13" s="15" t="s">
        <v>119</v>
      </c>
      <c r="E13" s="15" t="s">
        <v>338</v>
      </c>
      <c r="F13" s="15" t="s">
        <v>126</v>
      </c>
    </row>
    <row r="14" spans="1:6" x14ac:dyDescent="0.25">
      <c r="A14" s="15" t="s">
        <v>279</v>
      </c>
      <c r="B14" s="17" t="s">
        <v>306</v>
      </c>
      <c r="D14" s="15" t="s">
        <v>350</v>
      </c>
      <c r="E14" s="15" t="s">
        <v>339</v>
      </c>
      <c r="F14" s="15" t="s">
        <v>126</v>
      </c>
    </row>
    <row r="15" spans="1:6" x14ac:dyDescent="0.25">
      <c r="A15" s="15" t="s">
        <v>280</v>
      </c>
      <c r="B15" s="17" t="s">
        <v>306</v>
      </c>
      <c r="D15" s="15" t="s">
        <v>119</v>
      </c>
      <c r="E15" s="15" t="s">
        <v>340</v>
      </c>
      <c r="F15" s="15" t="s">
        <v>126</v>
      </c>
    </row>
    <row r="16" spans="1:6" x14ac:dyDescent="0.25">
      <c r="A16" s="15" t="s">
        <v>281</v>
      </c>
      <c r="B16" s="17" t="s">
        <v>306</v>
      </c>
      <c r="D16" s="15" t="s">
        <v>350</v>
      </c>
      <c r="E16" s="15" t="s">
        <v>341</v>
      </c>
      <c r="F16" s="15" t="s">
        <v>126</v>
      </c>
    </row>
    <row r="17" spans="1:6" x14ac:dyDescent="0.25">
      <c r="A17" s="15" t="s">
        <v>282</v>
      </c>
      <c r="B17" s="17" t="s">
        <v>306</v>
      </c>
      <c r="D17" s="15" t="s">
        <v>119</v>
      </c>
      <c r="E17" s="15" t="s">
        <v>342</v>
      </c>
      <c r="F17" s="15" t="s">
        <v>126</v>
      </c>
    </row>
    <row r="18" spans="1:6" x14ac:dyDescent="0.25">
      <c r="A18" s="15" t="s">
        <v>283</v>
      </c>
      <c r="B18" s="17" t="s">
        <v>306</v>
      </c>
      <c r="D18" s="15" t="s">
        <v>119</v>
      </c>
      <c r="E18" s="15" t="s">
        <v>343</v>
      </c>
      <c r="F18" s="15" t="s">
        <v>126</v>
      </c>
    </row>
    <row r="19" spans="1:6" x14ac:dyDescent="0.25">
      <c r="A19" s="15" t="s">
        <v>284</v>
      </c>
      <c r="B19" s="17" t="s">
        <v>306</v>
      </c>
      <c r="D19" s="48" t="s">
        <v>123</v>
      </c>
      <c r="E19" s="15" t="s">
        <v>344</v>
      </c>
      <c r="F19" s="48" t="s">
        <v>126</v>
      </c>
    </row>
    <row r="20" spans="1:6" x14ac:dyDescent="0.25">
      <c r="A20" s="15" t="s">
        <v>285</v>
      </c>
      <c r="B20" s="17" t="s">
        <v>306</v>
      </c>
      <c r="D20" s="48" t="s">
        <v>123</v>
      </c>
      <c r="E20" s="15" t="s">
        <v>345</v>
      </c>
      <c r="F20" s="15" t="s">
        <v>126</v>
      </c>
    </row>
    <row r="21" spans="1:6" x14ac:dyDescent="0.25">
      <c r="A21" s="15" t="s">
        <v>286</v>
      </c>
      <c r="B21" s="17" t="s">
        <v>306</v>
      </c>
      <c r="D21" s="48" t="s">
        <v>201</v>
      </c>
      <c r="E21" s="15" t="s">
        <v>254</v>
      </c>
      <c r="F21" s="48" t="s">
        <v>126</v>
      </c>
    </row>
    <row r="22" spans="1:6" x14ac:dyDescent="0.25">
      <c r="A22" s="15" t="s">
        <v>287</v>
      </c>
      <c r="B22" s="17" t="s">
        <v>306</v>
      </c>
      <c r="D22" s="48" t="s">
        <v>201</v>
      </c>
      <c r="E22" s="15" t="s">
        <v>346</v>
      </c>
      <c r="F22" s="15" t="s">
        <v>126</v>
      </c>
    </row>
    <row r="23" spans="1:6" x14ac:dyDescent="0.25">
      <c r="A23" s="15" t="s">
        <v>288</v>
      </c>
      <c r="B23" s="17" t="s">
        <v>306</v>
      </c>
      <c r="D23" s="15" t="s">
        <v>201</v>
      </c>
      <c r="E23" s="15" t="s">
        <v>347</v>
      </c>
      <c r="F23" s="15" t="s">
        <v>126</v>
      </c>
    </row>
    <row r="24" spans="1:6" x14ac:dyDescent="0.25">
      <c r="A24" s="15" t="s">
        <v>289</v>
      </c>
      <c r="B24" s="17" t="s">
        <v>306</v>
      </c>
      <c r="D24" s="15" t="s">
        <v>201</v>
      </c>
      <c r="E24" s="15" t="s">
        <v>216</v>
      </c>
      <c r="F24" s="48" t="s">
        <v>126</v>
      </c>
    </row>
    <row r="25" spans="1:6" x14ac:dyDescent="0.25">
      <c r="A25" s="15" t="s">
        <v>290</v>
      </c>
      <c r="B25" s="17" t="s">
        <v>306</v>
      </c>
      <c r="D25" s="15" t="s">
        <v>201</v>
      </c>
      <c r="E25" s="15" t="s">
        <v>211</v>
      </c>
      <c r="F25" s="15" t="s">
        <v>126</v>
      </c>
    </row>
    <row r="26" spans="1:6" x14ac:dyDescent="0.25">
      <c r="A26" s="15" t="s">
        <v>291</v>
      </c>
      <c r="B26" s="17" t="s">
        <v>306</v>
      </c>
      <c r="D26" s="15" t="s">
        <v>201</v>
      </c>
      <c r="E26" s="15" t="s">
        <v>213</v>
      </c>
      <c r="F26" s="15" t="s">
        <v>126</v>
      </c>
    </row>
    <row r="27" spans="1:6" x14ac:dyDescent="0.25">
      <c r="A27" s="15" t="s">
        <v>292</v>
      </c>
      <c r="B27" s="17" t="s">
        <v>306</v>
      </c>
      <c r="D27" s="15" t="s">
        <v>201</v>
      </c>
      <c r="E27" s="15" t="s">
        <v>212</v>
      </c>
      <c r="F27" s="15" t="s">
        <v>126</v>
      </c>
    </row>
    <row r="28" spans="1:6" x14ac:dyDescent="0.25">
      <c r="A28" s="15" t="s">
        <v>293</v>
      </c>
      <c r="B28" s="17" t="s">
        <v>306</v>
      </c>
      <c r="D28" s="15" t="s">
        <v>201</v>
      </c>
      <c r="E28" s="15" t="s">
        <v>218</v>
      </c>
      <c r="F28" s="15" t="s">
        <v>126</v>
      </c>
    </row>
    <row r="29" spans="1:6" x14ac:dyDescent="0.25">
      <c r="A29" s="15" t="s">
        <v>294</v>
      </c>
      <c r="B29" s="17" t="s">
        <v>306</v>
      </c>
      <c r="D29" s="15" t="s">
        <v>201</v>
      </c>
      <c r="E29" s="15" t="s">
        <v>335</v>
      </c>
      <c r="F29" s="15" t="s">
        <v>126</v>
      </c>
    </row>
    <row r="30" spans="1:6" x14ac:dyDescent="0.25">
      <c r="A30" s="15" t="s">
        <v>295</v>
      </c>
      <c r="B30" s="17" t="s">
        <v>306</v>
      </c>
      <c r="D30" s="15" t="s">
        <v>121</v>
      </c>
      <c r="E30" s="15" t="s">
        <v>238</v>
      </c>
      <c r="F30" s="15" t="s">
        <v>126</v>
      </c>
    </row>
    <row r="31" spans="1:6" x14ac:dyDescent="0.25">
      <c r="A31" s="15" t="s">
        <v>296</v>
      </c>
      <c r="B31" s="17" t="s">
        <v>306</v>
      </c>
      <c r="D31" s="15" t="s">
        <v>121</v>
      </c>
      <c r="E31" s="15" t="s">
        <v>239</v>
      </c>
      <c r="F31" s="15" t="s">
        <v>126</v>
      </c>
    </row>
    <row r="32" spans="1:6" x14ac:dyDescent="0.25">
      <c r="A32" s="15" t="s">
        <v>297</v>
      </c>
      <c r="B32" s="17" t="s">
        <v>306</v>
      </c>
      <c r="D32" s="15" t="s">
        <v>121</v>
      </c>
      <c r="E32" s="15" t="s">
        <v>240</v>
      </c>
      <c r="F32" s="15" t="s">
        <v>126</v>
      </c>
    </row>
    <row r="33" spans="1:6" x14ac:dyDescent="0.25">
      <c r="A33" s="15" t="s">
        <v>298</v>
      </c>
      <c r="B33" s="17" t="s">
        <v>306</v>
      </c>
      <c r="D33" s="15" t="s">
        <v>123</v>
      </c>
      <c r="E33" s="15" t="s">
        <v>253</v>
      </c>
      <c r="F33" s="15" t="s">
        <v>126</v>
      </c>
    </row>
    <row r="34" spans="1:6" x14ac:dyDescent="0.25">
      <c r="A34" s="15" t="s">
        <v>299</v>
      </c>
      <c r="B34" s="17" t="s">
        <v>306</v>
      </c>
      <c r="D34" s="15" t="s">
        <v>351</v>
      </c>
      <c r="E34" s="15" t="s">
        <v>225</v>
      </c>
      <c r="F34" s="15" t="s">
        <v>126</v>
      </c>
    </row>
    <row r="35" spans="1:6" x14ac:dyDescent="0.25">
      <c r="A35" s="15" t="s">
        <v>300</v>
      </c>
      <c r="B35" s="17" t="s">
        <v>306</v>
      </c>
      <c r="D35" s="15" t="s">
        <v>351</v>
      </c>
      <c r="E35" s="15" t="s">
        <v>226</v>
      </c>
      <c r="F35" s="15" t="s">
        <v>126</v>
      </c>
    </row>
    <row r="36" spans="1:6" x14ac:dyDescent="0.25">
      <c r="A36" s="15" t="s">
        <v>301</v>
      </c>
      <c r="B36" s="17" t="s">
        <v>306</v>
      </c>
      <c r="D36" s="15" t="s">
        <v>351</v>
      </c>
      <c r="E36" s="15" t="s">
        <v>227</v>
      </c>
      <c r="F36" s="15" t="s">
        <v>126</v>
      </c>
    </row>
    <row r="37" spans="1:6" x14ac:dyDescent="0.25">
      <c r="A37" s="15" t="s">
        <v>302</v>
      </c>
      <c r="B37" s="17" t="s">
        <v>306</v>
      </c>
      <c r="D37" s="15" t="s">
        <v>121</v>
      </c>
      <c r="E37" s="15" t="s">
        <v>241</v>
      </c>
      <c r="F37" s="15" t="s">
        <v>126</v>
      </c>
    </row>
    <row r="38" spans="1:6" x14ac:dyDescent="0.25">
      <c r="A38" s="15" t="s">
        <v>303</v>
      </c>
      <c r="B38" s="17" t="s">
        <v>306</v>
      </c>
      <c r="D38" s="15" t="s">
        <v>121</v>
      </c>
      <c r="E38" s="15" t="s">
        <v>242</v>
      </c>
      <c r="F38" s="15" t="s">
        <v>126</v>
      </c>
    </row>
    <row r="39" spans="1:6" x14ac:dyDescent="0.25">
      <c r="A39" s="15" t="s">
        <v>304</v>
      </c>
      <c r="B39" s="17" t="s">
        <v>306</v>
      </c>
      <c r="D39" s="15" t="s">
        <v>121</v>
      </c>
      <c r="E39" s="15" t="s">
        <v>243</v>
      </c>
      <c r="F39" s="15" t="s">
        <v>126</v>
      </c>
    </row>
    <row r="40" spans="1:6" x14ac:dyDescent="0.25">
      <c r="A40" s="15" t="s">
        <v>305</v>
      </c>
      <c r="B40" s="17" t="s">
        <v>306</v>
      </c>
      <c r="D40" s="15" t="s">
        <v>121</v>
      </c>
      <c r="E40" s="15" t="s">
        <v>244</v>
      </c>
      <c r="F40" s="15" t="s">
        <v>126</v>
      </c>
    </row>
    <row r="41" spans="1:6" x14ac:dyDescent="0.25">
      <c r="A41" s="15" t="s">
        <v>307</v>
      </c>
      <c r="B41" s="18" t="s">
        <v>315</v>
      </c>
      <c r="D41" s="15" t="s">
        <v>349</v>
      </c>
      <c r="E41" s="15" t="s">
        <v>221</v>
      </c>
      <c r="F41" s="15" t="s">
        <v>126</v>
      </c>
    </row>
    <row r="42" spans="1:6" x14ac:dyDescent="0.25">
      <c r="A42" s="15" t="s">
        <v>308</v>
      </c>
      <c r="B42" s="18" t="s">
        <v>315</v>
      </c>
      <c r="D42" s="15" t="s">
        <v>349</v>
      </c>
      <c r="E42" s="15" t="s">
        <v>222</v>
      </c>
      <c r="F42" s="15" t="s">
        <v>126</v>
      </c>
    </row>
    <row r="43" spans="1:6" x14ac:dyDescent="0.25">
      <c r="A43" s="15" t="s">
        <v>309</v>
      </c>
      <c r="B43" s="18" t="s">
        <v>315</v>
      </c>
      <c r="D43" s="15" t="s">
        <v>186</v>
      </c>
      <c r="E43" s="15" t="s">
        <v>224</v>
      </c>
      <c r="F43" s="15" t="s">
        <v>127</v>
      </c>
    </row>
    <row r="44" spans="1:6" x14ac:dyDescent="0.25">
      <c r="A44" s="15" t="s">
        <v>310</v>
      </c>
      <c r="B44" s="18" t="s">
        <v>315</v>
      </c>
      <c r="D44" s="15" t="s">
        <v>201</v>
      </c>
      <c r="E44" s="15" t="s">
        <v>211</v>
      </c>
      <c r="F44" s="15" t="s">
        <v>126</v>
      </c>
    </row>
    <row r="45" spans="1:6" x14ac:dyDescent="0.25">
      <c r="A45" s="15" t="s">
        <v>311</v>
      </c>
      <c r="B45" s="18" t="s">
        <v>315</v>
      </c>
      <c r="D45" s="15" t="s">
        <v>201</v>
      </c>
      <c r="E45" s="15" t="s">
        <v>212</v>
      </c>
      <c r="F45" s="15" t="s">
        <v>126</v>
      </c>
    </row>
    <row r="46" spans="1:6" x14ac:dyDescent="0.25">
      <c r="A46" s="15" t="s">
        <v>312</v>
      </c>
      <c r="B46" s="18" t="s">
        <v>315</v>
      </c>
      <c r="D46" s="15" t="s">
        <v>201</v>
      </c>
      <c r="E46" s="15" t="s">
        <v>216</v>
      </c>
      <c r="F46" s="15" t="s">
        <v>126</v>
      </c>
    </row>
    <row r="47" spans="1:6" x14ac:dyDescent="0.25">
      <c r="A47" s="15" t="s">
        <v>313</v>
      </c>
      <c r="B47" s="18" t="s">
        <v>315</v>
      </c>
      <c r="D47" s="15" t="s">
        <v>201</v>
      </c>
      <c r="E47" s="15" t="s">
        <v>214</v>
      </c>
      <c r="F47" s="15" t="s">
        <v>126</v>
      </c>
    </row>
    <row r="48" spans="1:6" x14ac:dyDescent="0.25">
      <c r="A48" s="15" t="s">
        <v>314</v>
      </c>
      <c r="B48" s="18" t="s">
        <v>315</v>
      </c>
      <c r="D48" s="15" t="s">
        <v>186</v>
      </c>
      <c r="E48" s="15" t="s">
        <v>223</v>
      </c>
      <c r="F48" s="15" t="s">
        <v>127</v>
      </c>
    </row>
    <row r="49" spans="1:6" x14ac:dyDescent="0.25">
      <c r="A49" s="15" t="s">
        <v>316</v>
      </c>
      <c r="B49" s="19" t="s">
        <v>328</v>
      </c>
      <c r="D49" s="15" t="s">
        <v>349</v>
      </c>
      <c r="E49" s="15" t="s">
        <v>222</v>
      </c>
      <c r="F49" s="15" t="s">
        <v>126</v>
      </c>
    </row>
    <row r="50" spans="1:6" x14ac:dyDescent="0.25">
      <c r="A50" s="15" t="s">
        <v>317</v>
      </c>
      <c r="B50" s="19" t="s">
        <v>328</v>
      </c>
      <c r="D50" s="15" t="s">
        <v>349</v>
      </c>
      <c r="E50" s="15" t="s">
        <v>221</v>
      </c>
      <c r="F50" s="15" t="s">
        <v>126</v>
      </c>
    </row>
    <row r="51" spans="1:6" x14ac:dyDescent="0.25">
      <c r="A51" s="15" t="s">
        <v>318</v>
      </c>
      <c r="B51" s="19" t="s">
        <v>328</v>
      </c>
      <c r="D51" s="15" t="s">
        <v>123</v>
      </c>
      <c r="E51" s="15" t="s">
        <v>253</v>
      </c>
      <c r="F51" s="15" t="s">
        <v>126</v>
      </c>
    </row>
    <row r="52" spans="1:6" x14ac:dyDescent="0.25">
      <c r="A52" s="15" t="s">
        <v>327</v>
      </c>
      <c r="B52" s="19" t="s">
        <v>328</v>
      </c>
      <c r="D52" s="39" t="s">
        <v>348</v>
      </c>
      <c r="E52" s="39" t="s">
        <v>327</v>
      </c>
      <c r="F52" s="39" t="s">
        <v>354</v>
      </c>
    </row>
    <row r="53" spans="1:6" x14ac:dyDescent="0.25">
      <c r="A53" s="15" t="s">
        <v>319</v>
      </c>
      <c r="B53" s="19" t="s">
        <v>328</v>
      </c>
      <c r="D53" s="15" t="s">
        <v>351</v>
      </c>
      <c r="E53" s="15" t="s">
        <v>225</v>
      </c>
      <c r="F53" s="15" t="s">
        <v>126</v>
      </c>
    </row>
    <row r="54" spans="1:6" x14ac:dyDescent="0.25">
      <c r="A54" s="15" t="s">
        <v>320</v>
      </c>
      <c r="B54" s="19" t="s">
        <v>328</v>
      </c>
      <c r="D54" s="15" t="s">
        <v>201</v>
      </c>
      <c r="E54" s="15" t="s">
        <v>216</v>
      </c>
      <c r="F54" s="15" t="s">
        <v>126</v>
      </c>
    </row>
    <row r="55" spans="1:6" x14ac:dyDescent="0.25">
      <c r="A55" s="15" t="s">
        <v>321</v>
      </c>
      <c r="B55" s="19" t="s">
        <v>328</v>
      </c>
      <c r="D55" s="15" t="s">
        <v>201</v>
      </c>
      <c r="E55" s="15" t="s">
        <v>215</v>
      </c>
      <c r="F55" s="15" t="s">
        <v>126</v>
      </c>
    </row>
    <row r="56" spans="1:6" x14ac:dyDescent="0.25">
      <c r="A56" s="15" t="s">
        <v>322</v>
      </c>
      <c r="B56" s="19" t="s">
        <v>328</v>
      </c>
      <c r="D56" s="15" t="s">
        <v>201</v>
      </c>
      <c r="E56" s="15" t="s">
        <v>212</v>
      </c>
      <c r="F56" s="15" t="s">
        <v>126</v>
      </c>
    </row>
    <row r="57" spans="1:6" x14ac:dyDescent="0.25">
      <c r="A57" s="15" t="s">
        <v>323</v>
      </c>
      <c r="B57" s="19" t="s">
        <v>328</v>
      </c>
      <c r="D57" s="15" t="s">
        <v>201</v>
      </c>
      <c r="E57" s="15" t="s">
        <v>218</v>
      </c>
      <c r="F57" s="15" t="s">
        <v>126</v>
      </c>
    </row>
    <row r="58" spans="1:6" x14ac:dyDescent="0.25">
      <c r="A58" s="15" t="s">
        <v>324</v>
      </c>
      <c r="B58" s="19" t="s">
        <v>328</v>
      </c>
      <c r="D58" s="15" t="s">
        <v>201</v>
      </c>
      <c r="E58" s="15" t="s">
        <v>220</v>
      </c>
      <c r="F58" s="15" t="s">
        <v>126</v>
      </c>
    </row>
    <row r="59" spans="1:6" x14ac:dyDescent="0.25">
      <c r="A59" s="15" t="s">
        <v>325</v>
      </c>
      <c r="B59" s="19" t="s">
        <v>328</v>
      </c>
      <c r="D59" s="15" t="s">
        <v>201</v>
      </c>
      <c r="E59" s="15" t="s">
        <v>214</v>
      </c>
      <c r="F59" s="15" t="s">
        <v>126</v>
      </c>
    </row>
    <row r="60" spans="1:6" x14ac:dyDescent="0.25">
      <c r="A60" s="15" t="s">
        <v>326</v>
      </c>
      <c r="B60" s="19" t="s">
        <v>328</v>
      </c>
      <c r="D60" s="15" t="s">
        <v>186</v>
      </c>
      <c r="E60" s="15" t="s">
        <v>224</v>
      </c>
      <c r="F60" s="15" t="s">
        <v>127</v>
      </c>
    </row>
    <row r="61" spans="1:6" x14ac:dyDescent="0.25">
      <c r="A61" s="15" t="s">
        <v>386</v>
      </c>
      <c r="B61" s="17" t="s">
        <v>306</v>
      </c>
      <c r="D61" s="15" t="s">
        <v>123</v>
      </c>
      <c r="E61" s="15" t="s">
        <v>252</v>
      </c>
      <c r="F61" s="15" t="s">
        <v>126</v>
      </c>
    </row>
    <row r="62" spans="1:6" x14ac:dyDescent="0.25">
      <c r="A62" s="15" t="s">
        <v>387</v>
      </c>
      <c r="B62" s="17" t="s">
        <v>306</v>
      </c>
      <c r="D62" s="15" t="s">
        <v>123</v>
      </c>
      <c r="E62" s="15" t="s">
        <v>251</v>
      </c>
      <c r="F62" s="15" t="s">
        <v>126</v>
      </c>
    </row>
    <row r="63" spans="1:6" x14ac:dyDescent="0.25">
      <c r="A63" s="15" t="s">
        <v>805</v>
      </c>
      <c r="B63" s="17" t="s">
        <v>306</v>
      </c>
      <c r="D63" s="15" t="s">
        <v>986</v>
      </c>
      <c r="E63" s="15" t="s">
        <v>803</v>
      </c>
      <c r="F63" s="15" t="s">
        <v>126</v>
      </c>
    </row>
    <row r="64" spans="1:6" x14ac:dyDescent="0.25">
      <c r="A64" s="15" t="s">
        <v>806</v>
      </c>
      <c r="B64" s="17" t="s">
        <v>306</v>
      </c>
      <c r="D64" s="15" t="s">
        <v>987</v>
      </c>
      <c r="E64" s="15" t="s">
        <v>804</v>
      </c>
      <c r="F64" s="15" t="s">
        <v>126</v>
      </c>
    </row>
    <row r="65" spans="1:6" x14ac:dyDescent="0.25">
      <c r="A65" s="15" t="s">
        <v>807</v>
      </c>
      <c r="B65" s="17" t="s">
        <v>306</v>
      </c>
      <c r="D65" s="39" t="s">
        <v>348</v>
      </c>
      <c r="E65" s="39" t="s">
        <v>807</v>
      </c>
      <c r="F65" s="39" t="s">
        <v>265</v>
      </c>
    </row>
    <row r="66" spans="1:6" x14ac:dyDescent="0.25">
      <c r="A66" s="15" t="s">
        <v>808</v>
      </c>
      <c r="B66" s="17" t="s">
        <v>306</v>
      </c>
      <c r="D66" s="39" t="s">
        <v>348</v>
      </c>
      <c r="E66" s="39" t="s">
        <v>808</v>
      </c>
      <c r="F66" s="39" t="s">
        <v>265</v>
      </c>
    </row>
    <row r="67" spans="1:6" x14ac:dyDescent="0.25">
      <c r="A67" s="15" t="s">
        <v>962</v>
      </c>
      <c r="B67" s="17" t="s">
        <v>306</v>
      </c>
      <c r="D67" s="39" t="s">
        <v>348</v>
      </c>
      <c r="E67" s="39" t="s">
        <v>962</v>
      </c>
      <c r="F67" s="39" t="s">
        <v>265</v>
      </c>
    </row>
    <row r="68" spans="1:6" x14ac:dyDescent="0.25">
      <c r="A68" s="15" t="s">
        <v>963</v>
      </c>
      <c r="B68" s="17" t="s">
        <v>306</v>
      </c>
      <c r="D68" s="39" t="s">
        <v>348</v>
      </c>
      <c r="E68" s="39" t="s">
        <v>963</v>
      </c>
      <c r="F68" s="39" t="s">
        <v>265</v>
      </c>
    </row>
    <row r="69" spans="1:6" x14ac:dyDescent="0.25">
      <c r="A69" s="15" t="s">
        <v>964</v>
      </c>
      <c r="B69" s="17" t="s">
        <v>306</v>
      </c>
      <c r="D69" s="39" t="s">
        <v>348</v>
      </c>
      <c r="E69" s="39" t="s">
        <v>964</v>
      </c>
      <c r="F69" s="39" t="s">
        <v>265</v>
      </c>
    </row>
    <row r="70" spans="1:6" x14ac:dyDescent="0.25">
      <c r="A70" s="15" t="s">
        <v>965</v>
      </c>
      <c r="B70" s="17" t="s">
        <v>306</v>
      </c>
      <c r="D70" s="39" t="s">
        <v>348</v>
      </c>
      <c r="E70" s="39" t="s">
        <v>965</v>
      </c>
      <c r="F70" s="39" t="s">
        <v>265</v>
      </c>
    </row>
    <row r="71" spans="1:6" x14ac:dyDescent="0.25">
      <c r="A71" s="15" t="s">
        <v>966</v>
      </c>
      <c r="B71" s="17" t="s">
        <v>306</v>
      </c>
      <c r="D71" s="39" t="s">
        <v>348</v>
      </c>
      <c r="E71" s="39" t="s">
        <v>966</v>
      </c>
      <c r="F71" s="39" t="s">
        <v>265</v>
      </c>
    </row>
    <row r="72" spans="1:6" x14ac:dyDescent="0.25">
      <c r="A72" s="15" t="s">
        <v>967</v>
      </c>
      <c r="B72" s="17" t="s">
        <v>306</v>
      </c>
      <c r="D72" s="39" t="s">
        <v>348</v>
      </c>
      <c r="E72" s="39" t="s">
        <v>967</v>
      </c>
      <c r="F72" s="39" t="s">
        <v>265</v>
      </c>
    </row>
    <row r="73" spans="1:6" x14ac:dyDescent="0.25">
      <c r="A73" s="15" t="s">
        <v>968</v>
      </c>
      <c r="B73" s="17" t="s">
        <v>306</v>
      </c>
      <c r="D73" s="39" t="s">
        <v>348</v>
      </c>
      <c r="E73" s="39" t="s">
        <v>968</v>
      </c>
      <c r="F73" s="39" t="s">
        <v>265</v>
      </c>
    </row>
    <row r="74" spans="1:6" x14ac:dyDescent="0.25">
      <c r="A74" s="15" t="s">
        <v>969</v>
      </c>
      <c r="B74" s="17" t="s">
        <v>306</v>
      </c>
      <c r="D74" s="39" t="s">
        <v>348</v>
      </c>
      <c r="E74" s="39" t="s">
        <v>969</v>
      </c>
      <c r="F74" s="39" t="s">
        <v>265</v>
      </c>
    </row>
    <row r="75" spans="1:6" x14ac:dyDescent="0.25">
      <c r="A75" s="15" t="s">
        <v>970</v>
      </c>
      <c r="B75" s="17" t="s">
        <v>306</v>
      </c>
      <c r="D75" s="15" t="s">
        <v>120</v>
      </c>
      <c r="E75" s="15" t="s">
        <v>236</v>
      </c>
      <c r="F75" s="15" t="s">
        <v>127</v>
      </c>
    </row>
    <row r="76" spans="1:6" x14ac:dyDescent="0.25">
      <c r="A76" s="15" t="s">
        <v>971</v>
      </c>
      <c r="B76" s="17" t="s">
        <v>306</v>
      </c>
      <c r="D76" s="39" t="s">
        <v>348</v>
      </c>
      <c r="E76" s="39" t="s">
        <v>971</v>
      </c>
      <c r="F76" s="39" t="s">
        <v>265</v>
      </c>
    </row>
    <row r="77" spans="1:6" x14ac:dyDescent="0.25">
      <c r="A77" s="15" t="s">
        <v>972</v>
      </c>
      <c r="B77" s="17" t="s">
        <v>306</v>
      </c>
      <c r="D77" s="39" t="s">
        <v>348</v>
      </c>
      <c r="E77" s="39" t="s">
        <v>972</v>
      </c>
      <c r="F77" s="39" t="s">
        <v>265</v>
      </c>
    </row>
    <row r="78" spans="1:6" x14ac:dyDescent="0.25">
      <c r="A78" s="15" t="s">
        <v>973</v>
      </c>
      <c r="B78" s="17" t="s">
        <v>306</v>
      </c>
      <c r="D78" s="39" t="s">
        <v>348</v>
      </c>
      <c r="E78" s="39" t="s">
        <v>973</v>
      </c>
      <c r="F78" s="39" t="s">
        <v>265</v>
      </c>
    </row>
    <row r="79" spans="1:6" x14ac:dyDescent="0.25">
      <c r="A79" s="15" t="s">
        <v>974</v>
      </c>
      <c r="B79" s="17" t="s">
        <v>306</v>
      </c>
      <c r="D79" s="39" t="s">
        <v>348</v>
      </c>
      <c r="E79" s="39" t="s">
        <v>974</v>
      </c>
      <c r="F79" s="39" t="s">
        <v>265</v>
      </c>
    </row>
    <row r="80" spans="1:6" x14ac:dyDescent="0.25">
      <c r="A80" s="15" t="s">
        <v>975</v>
      </c>
      <c r="B80" s="17" t="s">
        <v>306</v>
      </c>
      <c r="D80" s="39" t="s">
        <v>348</v>
      </c>
      <c r="E80" s="39" t="s">
        <v>975</v>
      </c>
      <c r="F80" s="39" t="s">
        <v>265</v>
      </c>
    </row>
    <row r="81" spans="1:6" x14ac:dyDescent="0.25">
      <c r="A81" s="15" t="s">
        <v>976</v>
      </c>
      <c r="B81" s="17" t="s">
        <v>306</v>
      </c>
      <c r="D81" s="39" t="s">
        <v>348</v>
      </c>
      <c r="E81" s="39" t="s">
        <v>976</v>
      </c>
      <c r="F81" s="39" t="s">
        <v>265</v>
      </c>
    </row>
    <row r="82" spans="1:6" x14ac:dyDescent="0.25">
      <c r="A82" s="15" t="s">
        <v>977</v>
      </c>
      <c r="B82" s="17" t="s">
        <v>306</v>
      </c>
      <c r="D82" s="39" t="s">
        <v>348</v>
      </c>
      <c r="E82" s="39" t="s">
        <v>977</v>
      </c>
      <c r="F82" s="39" t="s">
        <v>265</v>
      </c>
    </row>
    <row r="83" spans="1:6" x14ac:dyDescent="0.25">
      <c r="A83" s="15" t="s">
        <v>978</v>
      </c>
      <c r="B83" s="17" t="s">
        <v>306</v>
      </c>
      <c r="D83" s="39" t="s">
        <v>348</v>
      </c>
      <c r="E83" s="39" t="s">
        <v>978</v>
      </c>
      <c r="F83" s="39" t="s">
        <v>265</v>
      </c>
    </row>
    <row r="84" spans="1:6" x14ac:dyDescent="0.25">
      <c r="A84" s="15" t="s">
        <v>979</v>
      </c>
      <c r="B84" s="17" t="s">
        <v>306</v>
      </c>
      <c r="D84" s="39" t="s">
        <v>348</v>
      </c>
      <c r="E84" s="39" t="s">
        <v>979</v>
      </c>
      <c r="F84" s="39" t="s">
        <v>265</v>
      </c>
    </row>
    <row r="85" spans="1:6" x14ac:dyDescent="0.25">
      <c r="A85" s="15" t="s">
        <v>980</v>
      </c>
      <c r="B85" s="17" t="s">
        <v>306</v>
      </c>
      <c r="D85" s="39" t="s">
        <v>348</v>
      </c>
      <c r="E85" s="39" t="s">
        <v>980</v>
      </c>
      <c r="F85" s="39" t="s">
        <v>265</v>
      </c>
    </row>
    <row r="86" spans="1:6" x14ac:dyDescent="0.25">
      <c r="A86" s="15" t="s">
        <v>981</v>
      </c>
      <c r="B86" s="17" t="s">
        <v>306</v>
      </c>
      <c r="D86" s="39" t="s">
        <v>348</v>
      </c>
      <c r="E86" s="39" t="s">
        <v>981</v>
      </c>
      <c r="F86" s="39" t="s">
        <v>265</v>
      </c>
    </row>
    <row r="87" spans="1:6" x14ac:dyDescent="0.25">
      <c r="A87" s="15" t="s">
        <v>982</v>
      </c>
      <c r="B87" s="17" t="s">
        <v>306</v>
      </c>
      <c r="D87" s="39" t="s">
        <v>348</v>
      </c>
      <c r="E87" s="39" t="s">
        <v>982</v>
      </c>
      <c r="F87" s="39" t="s">
        <v>265</v>
      </c>
    </row>
    <row r="88" spans="1:6" x14ac:dyDescent="0.25">
      <c r="A88" s="15" t="s">
        <v>983</v>
      </c>
      <c r="B88" s="17" t="s">
        <v>306</v>
      </c>
      <c r="D88" s="39" t="s">
        <v>348</v>
      </c>
      <c r="E88" s="39" t="s">
        <v>983</v>
      </c>
      <c r="F88" s="39" t="s">
        <v>265</v>
      </c>
    </row>
    <row r="89" spans="1:6" x14ac:dyDescent="0.25">
      <c r="A89" s="15" t="s">
        <v>984</v>
      </c>
      <c r="B89" s="19" t="s">
        <v>328</v>
      </c>
      <c r="D89" s="39" t="s">
        <v>348</v>
      </c>
      <c r="E89" s="39" t="s">
        <v>984</v>
      </c>
      <c r="F89" s="39" t="s">
        <v>265</v>
      </c>
    </row>
    <row r="90" spans="1:6" x14ac:dyDescent="0.25">
      <c r="A90" s="15" t="s">
        <v>976</v>
      </c>
      <c r="B90" s="19" t="s">
        <v>328</v>
      </c>
      <c r="D90" s="39" t="s">
        <v>348</v>
      </c>
      <c r="E90" s="39" t="s">
        <v>976</v>
      </c>
      <c r="F90" s="39" t="s">
        <v>265</v>
      </c>
    </row>
    <row r="91" spans="1:6" x14ac:dyDescent="0.25">
      <c r="A91" s="15" t="s">
        <v>974</v>
      </c>
      <c r="B91" s="19" t="s">
        <v>328</v>
      </c>
      <c r="D91" s="39" t="s">
        <v>348</v>
      </c>
      <c r="E91" s="39" t="s">
        <v>974</v>
      </c>
      <c r="F91" s="39" t="s">
        <v>265</v>
      </c>
    </row>
    <row r="92" spans="1:6" x14ac:dyDescent="0.25">
      <c r="A92" s="15" t="s">
        <v>994</v>
      </c>
      <c r="B92" s="19" t="s">
        <v>328</v>
      </c>
      <c r="D92" s="39" t="s">
        <v>348</v>
      </c>
      <c r="E92" s="39" t="s">
        <v>994</v>
      </c>
      <c r="F92" s="39" t="s">
        <v>265</v>
      </c>
    </row>
    <row r="93" spans="1:6" x14ac:dyDescent="0.25">
      <c r="A93" s="15" t="s">
        <v>995</v>
      </c>
      <c r="B93" s="19" t="s">
        <v>328</v>
      </c>
      <c r="D93" s="39" t="s">
        <v>348</v>
      </c>
      <c r="E93" s="39" t="s">
        <v>995</v>
      </c>
      <c r="F93" s="39" t="s">
        <v>265</v>
      </c>
    </row>
  </sheetData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976E64-F6A8-4D7C-B1F3-C8084C33AA2C}">
          <x14:formula1>
            <xm:f>'入庫(U)'!$A$2:$A$47</xm:f>
          </x14:formula1>
          <xm:sqref>E2:E93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/>
  <dimension ref="A1:AO11"/>
  <sheetViews>
    <sheetView workbookViewId="0">
      <selection activeCell="B41" sqref="B41"/>
    </sheetView>
  </sheetViews>
  <sheetFormatPr defaultColWidth="8.88671875" defaultRowHeight="13.2" x14ac:dyDescent="0.25"/>
  <cols>
    <col min="1" max="2" width="18.88671875" style="38" customWidth="1"/>
    <col min="3" max="3" width="30.44140625" style="38" customWidth="1"/>
    <col min="4" max="4" width="10.6640625" style="38" customWidth="1"/>
    <col min="5" max="5" width="19" style="38" customWidth="1"/>
    <col min="6" max="23" width="10.33203125" style="38" customWidth="1"/>
    <col min="24" max="33" width="8.88671875" style="38"/>
    <col min="34" max="34" width="17.6640625" style="38" customWidth="1"/>
    <col min="35" max="16384" width="8.88671875" style="38"/>
  </cols>
  <sheetData>
    <row r="1" spans="1:41" x14ac:dyDescent="0.25">
      <c r="A1" s="38" t="s">
        <v>152</v>
      </c>
      <c r="B1" s="38" t="s">
        <v>133</v>
      </c>
      <c r="C1" s="38" t="s">
        <v>132</v>
      </c>
      <c r="D1" s="38" t="s">
        <v>153</v>
      </c>
      <c r="E1" s="38" t="s">
        <v>135</v>
      </c>
      <c r="F1" s="38" t="s">
        <v>136</v>
      </c>
      <c r="G1" s="38" t="s">
        <v>154</v>
      </c>
      <c r="H1" s="38" t="s">
        <v>155</v>
      </c>
      <c r="I1" s="38" t="s">
        <v>156</v>
      </c>
      <c r="J1" s="38" t="s">
        <v>157</v>
      </c>
      <c r="K1" s="38" t="s">
        <v>158</v>
      </c>
      <c r="L1" s="38" t="s">
        <v>159</v>
      </c>
      <c r="M1" s="38" t="s">
        <v>160</v>
      </c>
      <c r="N1" s="38" t="s">
        <v>161</v>
      </c>
      <c r="O1" s="38" t="s">
        <v>162</v>
      </c>
      <c r="P1" s="38" t="s">
        <v>163</v>
      </c>
      <c r="Q1" s="38" t="s">
        <v>164</v>
      </c>
      <c r="R1" s="38" t="s">
        <v>165</v>
      </c>
      <c r="S1" s="38" t="s">
        <v>143</v>
      </c>
      <c r="T1" s="38" t="s">
        <v>166</v>
      </c>
      <c r="U1" s="38" t="s">
        <v>167</v>
      </c>
      <c r="V1" s="38" t="s">
        <v>168</v>
      </c>
      <c r="W1" s="38" t="s">
        <v>169</v>
      </c>
      <c r="X1" s="38" t="s">
        <v>170</v>
      </c>
      <c r="Y1" s="38" t="s">
        <v>149</v>
      </c>
      <c r="Z1" s="38" t="s">
        <v>150</v>
      </c>
      <c r="AA1" s="38" t="s">
        <v>171</v>
      </c>
      <c r="AB1" s="38" t="s">
        <v>172</v>
      </c>
      <c r="AC1" s="38" t="s">
        <v>173</v>
      </c>
      <c r="AD1" s="38" t="s">
        <v>174</v>
      </c>
      <c r="AE1" s="38" t="s">
        <v>175</v>
      </c>
      <c r="AF1" s="38" t="s">
        <v>176</v>
      </c>
      <c r="AG1" s="38" t="s">
        <v>141</v>
      </c>
      <c r="AH1" s="38" t="s">
        <v>177</v>
      </c>
      <c r="AI1" s="38" t="s">
        <v>178</v>
      </c>
      <c r="AJ1" s="38" t="s">
        <v>179</v>
      </c>
      <c r="AK1" s="38" t="s">
        <v>180</v>
      </c>
      <c r="AL1" s="38" t="s">
        <v>181</v>
      </c>
      <c r="AM1" s="38" t="s">
        <v>182</v>
      </c>
      <c r="AN1" s="38" t="s">
        <v>183</v>
      </c>
      <c r="AO1" s="38" t="s">
        <v>184</v>
      </c>
    </row>
    <row r="2" spans="1:41" ht="13.8" x14ac:dyDescent="0.25">
      <c r="A2" s="73">
        <v>44165.910520833335</v>
      </c>
      <c r="B2" s="73">
        <v>44171.605011574073</v>
      </c>
      <c r="C2">
        <v>10001613090411</v>
      </c>
      <c r="D2" t="s">
        <v>598</v>
      </c>
      <c r="E2">
        <v>100472662568</v>
      </c>
      <c r="F2" s="1" t="s">
        <v>599</v>
      </c>
      <c r="G2"/>
      <c r="H2"/>
      <c r="I2"/>
      <c r="J2" t="s">
        <v>600</v>
      </c>
      <c r="K2" t="s">
        <v>601</v>
      </c>
      <c r="L2" t="s">
        <v>602</v>
      </c>
      <c r="M2" t="s">
        <v>447</v>
      </c>
      <c r="N2">
        <v>69</v>
      </c>
      <c r="O2">
        <v>5</v>
      </c>
      <c r="P2">
        <v>345</v>
      </c>
      <c r="Q2">
        <v>60</v>
      </c>
      <c r="R2">
        <v>65</v>
      </c>
      <c r="S2">
        <v>65</v>
      </c>
      <c r="T2">
        <v>971</v>
      </c>
      <c r="U2">
        <v>971</v>
      </c>
      <c r="V2">
        <v>0</v>
      </c>
      <c r="W2"/>
      <c r="X2" t="s">
        <v>603</v>
      </c>
      <c r="Y2" t="s">
        <v>604</v>
      </c>
      <c r="Z2">
        <v>987757554</v>
      </c>
      <c r="AA2">
        <v>247</v>
      </c>
      <c r="AB2"/>
      <c r="AC2"/>
      <c r="AD2"/>
      <c r="AE2"/>
      <c r="AF2" t="s">
        <v>605</v>
      </c>
      <c r="AG2" t="s">
        <v>606</v>
      </c>
      <c r="AH2" s="73">
        <v>44167.941250000003</v>
      </c>
      <c r="AI2" t="s">
        <v>607</v>
      </c>
      <c r="AJ2">
        <v>1330</v>
      </c>
      <c r="AK2" t="s">
        <v>608</v>
      </c>
      <c r="AL2" t="s">
        <v>609</v>
      </c>
      <c r="AM2" t="s">
        <v>610</v>
      </c>
      <c r="AN2"/>
      <c r="AO2" t="s">
        <v>611</v>
      </c>
    </row>
    <row r="3" spans="1:41" ht="13.8" x14ac:dyDescent="0.25">
      <c r="A3" s="73">
        <v>44165.910520833335</v>
      </c>
      <c r="B3" s="73">
        <v>44171.605011574073</v>
      </c>
      <c r="C3">
        <v>10001613090411</v>
      </c>
      <c r="D3" t="s">
        <v>598</v>
      </c>
      <c r="E3">
        <v>100472662568</v>
      </c>
      <c r="F3" s="1" t="s">
        <v>599</v>
      </c>
      <c r="G3"/>
      <c r="H3"/>
      <c r="I3"/>
      <c r="J3" t="s">
        <v>612</v>
      </c>
      <c r="K3" t="s">
        <v>601</v>
      </c>
      <c r="L3" t="s">
        <v>602</v>
      </c>
      <c r="M3" t="s">
        <v>447</v>
      </c>
      <c r="N3">
        <v>69</v>
      </c>
      <c r="O3">
        <v>9</v>
      </c>
      <c r="P3">
        <v>621</v>
      </c>
      <c r="Q3">
        <v>60</v>
      </c>
      <c r="R3">
        <v>65</v>
      </c>
      <c r="S3">
        <v>65</v>
      </c>
      <c r="T3">
        <v>971</v>
      </c>
      <c r="U3">
        <v>971</v>
      </c>
      <c r="V3">
        <v>0</v>
      </c>
      <c r="W3"/>
      <c r="X3" t="s">
        <v>603</v>
      </c>
      <c r="Y3" t="s">
        <v>604</v>
      </c>
      <c r="Z3">
        <v>987757554</v>
      </c>
      <c r="AA3">
        <v>247</v>
      </c>
      <c r="AB3"/>
      <c r="AC3"/>
      <c r="AD3"/>
      <c r="AE3"/>
      <c r="AF3" t="s">
        <v>605</v>
      </c>
      <c r="AG3" t="s">
        <v>606</v>
      </c>
      <c r="AH3" s="73">
        <v>44167.941250000003</v>
      </c>
      <c r="AI3" t="s">
        <v>607</v>
      </c>
      <c r="AJ3">
        <v>1330</v>
      </c>
      <c r="AK3" t="s">
        <v>608</v>
      </c>
      <c r="AL3" t="s">
        <v>609</v>
      </c>
      <c r="AM3" t="s">
        <v>610</v>
      </c>
      <c r="AN3"/>
      <c r="AO3" t="s">
        <v>611</v>
      </c>
    </row>
    <row r="4" spans="1:41" ht="13.8" x14ac:dyDescent="0.25">
      <c r="A4" s="73">
        <v>44164.579814814817</v>
      </c>
      <c r="B4" s="73">
        <v>44166.958854166667</v>
      </c>
      <c r="C4">
        <v>10000998350216</v>
      </c>
      <c r="D4" t="s">
        <v>613</v>
      </c>
      <c r="E4">
        <v>100472662568</v>
      </c>
      <c r="F4" s="1" t="s">
        <v>599</v>
      </c>
      <c r="G4"/>
      <c r="H4"/>
      <c r="I4"/>
      <c r="J4" t="s">
        <v>614</v>
      </c>
      <c r="K4" t="s">
        <v>601</v>
      </c>
      <c r="L4" t="s">
        <v>615</v>
      </c>
      <c r="M4" t="s">
        <v>615</v>
      </c>
      <c r="N4">
        <v>69</v>
      </c>
      <c r="O4">
        <v>10</v>
      </c>
      <c r="P4">
        <v>690</v>
      </c>
      <c r="Q4">
        <v>0</v>
      </c>
      <c r="R4">
        <v>65</v>
      </c>
      <c r="S4">
        <v>65</v>
      </c>
      <c r="T4">
        <v>755</v>
      </c>
      <c r="U4">
        <v>755</v>
      </c>
      <c r="V4">
        <v>0</v>
      </c>
      <c r="W4"/>
      <c r="X4" t="s">
        <v>616</v>
      </c>
      <c r="Y4" t="s">
        <v>617</v>
      </c>
      <c r="Z4">
        <v>932379126</v>
      </c>
      <c r="AA4">
        <v>712</v>
      </c>
      <c r="AB4"/>
      <c r="AC4"/>
      <c r="AD4"/>
      <c r="AE4"/>
      <c r="AF4" t="s">
        <v>618</v>
      </c>
      <c r="AG4" t="s">
        <v>619</v>
      </c>
      <c r="AH4" s="73">
        <v>44164.983703703707</v>
      </c>
      <c r="AI4" t="s">
        <v>620</v>
      </c>
      <c r="AJ4">
        <v>208978</v>
      </c>
      <c r="AK4" t="s">
        <v>621</v>
      </c>
      <c r="AL4" t="s">
        <v>609</v>
      </c>
      <c r="AM4" t="s">
        <v>610</v>
      </c>
      <c r="AN4"/>
      <c r="AO4" t="s">
        <v>611</v>
      </c>
    </row>
    <row r="5" spans="1:41" ht="13.8" x14ac:dyDescent="0.25">
      <c r="A5" s="73">
        <v>44150.753599537034</v>
      </c>
      <c r="B5" s="73">
        <v>44157.417731481481</v>
      </c>
      <c r="C5">
        <v>10001493210245</v>
      </c>
      <c r="D5" t="s">
        <v>622</v>
      </c>
      <c r="E5">
        <v>100637218566</v>
      </c>
      <c r="F5" s="1" t="s">
        <v>623</v>
      </c>
      <c r="G5"/>
      <c r="H5"/>
      <c r="I5"/>
      <c r="J5" s="74" t="s">
        <v>624</v>
      </c>
      <c r="K5" s="74" t="s">
        <v>625</v>
      </c>
      <c r="L5" t="s">
        <v>626</v>
      </c>
      <c r="M5" t="s">
        <v>626</v>
      </c>
      <c r="N5">
        <v>179</v>
      </c>
      <c r="O5">
        <v>2</v>
      </c>
      <c r="P5">
        <v>358</v>
      </c>
      <c r="Q5">
        <v>0</v>
      </c>
      <c r="R5">
        <v>65</v>
      </c>
      <c r="S5">
        <v>50</v>
      </c>
      <c r="T5">
        <v>408</v>
      </c>
      <c r="U5"/>
      <c r="V5">
        <v>0</v>
      </c>
      <c r="W5"/>
      <c r="X5" t="s">
        <v>627</v>
      </c>
      <c r="Y5" t="s">
        <v>628</v>
      </c>
      <c r="Z5">
        <v>916235596</v>
      </c>
      <c r="AA5">
        <v>826</v>
      </c>
      <c r="AB5"/>
      <c r="AC5"/>
      <c r="AD5"/>
      <c r="AE5"/>
      <c r="AF5" t="s">
        <v>605</v>
      </c>
      <c r="AG5" t="s">
        <v>629</v>
      </c>
      <c r="AH5" s="73">
        <v>44151.755127314813</v>
      </c>
      <c r="AI5">
        <v>1064258301</v>
      </c>
      <c r="AJ5">
        <v>919</v>
      </c>
      <c r="AK5" t="s">
        <v>630</v>
      </c>
      <c r="AL5" t="s">
        <v>609</v>
      </c>
      <c r="AM5" t="s">
        <v>610</v>
      </c>
      <c r="AN5"/>
      <c r="AO5" t="s">
        <v>611</v>
      </c>
    </row>
    <row r="6" spans="1:41" ht="13.8" x14ac:dyDescent="0.25">
      <c r="A6" s="73">
        <v>44148.553472222222</v>
      </c>
      <c r="B6" s="73">
        <v>44154.222361111111</v>
      </c>
      <c r="C6">
        <v>10001504010068</v>
      </c>
      <c r="D6" t="s">
        <v>631</v>
      </c>
      <c r="E6">
        <v>100894903837</v>
      </c>
      <c r="F6" s="1" t="s">
        <v>632</v>
      </c>
      <c r="G6"/>
      <c r="H6"/>
      <c r="I6"/>
      <c r="J6" s="74" t="s">
        <v>633</v>
      </c>
      <c r="K6" s="74" t="s">
        <v>634</v>
      </c>
      <c r="L6" t="s">
        <v>635</v>
      </c>
      <c r="M6" t="s">
        <v>636</v>
      </c>
      <c r="N6">
        <v>39</v>
      </c>
      <c r="O6">
        <v>16</v>
      </c>
      <c r="P6">
        <v>624</v>
      </c>
      <c r="Q6">
        <v>0</v>
      </c>
      <c r="R6">
        <v>0</v>
      </c>
      <c r="S6">
        <v>0</v>
      </c>
      <c r="T6">
        <v>1326</v>
      </c>
      <c r="U6">
        <v>1326</v>
      </c>
      <c r="V6">
        <v>0</v>
      </c>
      <c r="W6"/>
      <c r="X6" t="s">
        <v>637</v>
      </c>
      <c r="Y6" t="s">
        <v>638</v>
      </c>
      <c r="Z6" t="s">
        <v>638</v>
      </c>
      <c r="AA6">
        <v>500</v>
      </c>
      <c r="AB6"/>
      <c r="AC6"/>
      <c r="AD6"/>
      <c r="AE6"/>
      <c r="AF6" t="s">
        <v>618</v>
      </c>
      <c r="AG6" t="s">
        <v>606</v>
      </c>
      <c r="AH6" s="73">
        <v>44150.620127314818</v>
      </c>
      <c r="AI6" t="s">
        <v>639</v>
      </c>
      <c r="AJ6" t="s">
        <v>640</v>
      </c>
      <c r="AK6" t="s">
        <v>641</v>
      </c>
      <c r="AL6" t="s">
        <v>609</v>
      </c>
      <c r="AM6" t="s">
        <v>610</v>
      </c>
      <c r="AN6"/>
      <c r="AO6" t="s">
        <v>611</v>
      </c>
    </row>
    <row r="7" spans="1:41" ht="13.8" x14ac:dyDescent="0.25">
      <c r="A7" s="73">
        <v>44148.553472222222</v>
      </c>
      <c r="B7" s="73">
        <v>44154.222361111111</v>
      </c>
      <c r="C7">
        <v>10001504010068</v>
      </c>
      <c r="D7" t="s">
        <v>631</v>
      </c>
      <c r="E7">
        <v>100894903837</v>
      </c>
      <c r="F7" s="1" t="s">
        <v>632</v>
      </c>
      <c r="G7"/>
      <c r="H7"/>
      <c r="I7"/>
      <c r="J7" s="74" t="s">
        <v>633</v>
      </c>
      <c r="K7" t="s">
        <v>642</v>
      </c>
      <c r="L7" t="s">
        <v>635</v>
      </c>
      <c r="M7" t="s">
        <v>636</v>
      </c>
      <c r="N7">
        <v>39</v>
      </c>
      <c r="O7">
        <v>18</v>
      </c>
      <c r="P7">
        <v>702</v>
      </c>
      <c r="Q7">
        <v>0</v>
      </c>
      <c r="R7">
        <v>0</v>
      </c>
      <c r="S7">
        <v>0</v>
      </c>
      <c r="T7">
        <v>1326</v>
      </c>
      <c r="U7">
        <v>1326</v>
      </c>
      <c r="V7">
        <v>0</v>
      </c>
      <c r="W7"/>
      <c r="X7" t="s">
        <v>637</v>
      </c>
      <c r="Y7" t="s">
        <v>638</v>
      </c>
      <c r="Z7" t="s">
        <v>638</v>
      </c>
      <c r="AA7">
        <v>500</v>
      </c>
      <c r="AB7"/>
      <c r="AC7"/>
      <c r="AD7"/>
      <c r="AE7"/>
      <c r="AF7" t="s">
        <v>618</v>
      </c>
      <c r="AG7" t="s">
        <v>606</v>
      </c>
      <c r="AH7" s="73">
        <v>44150.620127314818</v>
      </c>
      <c r="AI7" t="s">
        <v>639</v>
      </c>
      <c r="AJ7" t="s">
        <v>640</v>
      </c>
      <c r="AK7" t="s">
        <v>641</v>
      </c>
      <c r="AL7" t="s">
        <v>609</v>
      </c>
      <c r="AM7" t="s">
        <v>610</v>
      </c>
      <c r="AN7"/>
      <c r="AO7" t="s">
        <v>611</v>
      </c>
    </row>
    <row r="8" spans="1:41" ht="13.8" x14ac:dyDescent="0.25">
      <c r="A8" s="73">
        <v>44147.577106481483</v>
      </c>
      <c r="B8" s="73"/>
      <c r="C8">
        <v>10000972390712</v>
      </c>
      <c r="D8" t="s">
        <v>643</v>
      </c>
      <c r="E8">
        <v>100894903837</v>
      </c>
      <c r="F8" s="1" t="s">
        <v>632</v>
      </c>
      <c r="G8"/>
      <c r="H8"/>
      <c r="I8"/>
      <c r="J8" s="74" t="s">
        <v>644</v>
      </c>
      <c r="K8" t="s">
        <v>642</v>
      </c>
      <c r="L8" t="s">
        <v>645</v>
      </c>
      <c r="M8" t="s">
        <v>646</v>
      </c>
      <c r="N8">
        <v>39</v>
      </c>
      <c r="O8">
        <v>4</v>
      </c>
      <c r="P8">
        <v>156</v>
      </c>
      <c r="Q8">
        <v>0</v>
      </c>
      <c r="R8">
        <v>65</v>
      </c>
      <c r="S8">
        <v>50</v>
      </c>
      <c r="T8">
        <v>206</v>
      </c>
      <c r="U8"/>
      <c r="V8">
        <v>0</v>
      </c>
      <c r="W8"/>
      <c r="X8" t="s">
        <v>647</v>
      </c>
      <c r="Y8" t="s">
        <v>648</v>
      </c>
      <c r="Z8" t="s">
        <v>648</v>
      </c>
      <c r="AA8">
        <v>320</v>
      </c>
      <c r="AB8"/>
      <c r="AC8"/>
      <c r="AD8"/>
      <c r="AE8"/>
      <c r="AF8" t="s">
        <v>649</v>
      </c>
      <c r="AG8" t="s">
        <v>606</v>
      </c>
      <c r="AH8" s="73">
        <v>44147.863078703704</v>
      </c>
      <c r="AI8" t="s">
        <v>650</v>
      </c>
      <c r="AJ8" t="s">
        <v>651</v>
      </c>
      <c r="AK8" t="s">
        <v>652</v>
      </c>
      <c r="AL8" t="s">
        <v>418</v>
      </c>
      <c r="AM8" t="s">
        <v>653</v>
      </c>
      <c r="AN8"/>
      <c r="AO8" t="s">
        <v>654</v>
      </c>
    </row>
    <row r="9" spans="1:41" ht="13.8" x14ac:dyDescent="0.25">
      <c r="A9" s="73">
        <v>44146.479930555557</v>
      </c>
      <c r="B9" s="73">
        <v>44149.52480324074</v>
      </c>
      <c r="C9">
        <v>10001493210245</v>
      </c>
      <c r="D9" t="s">
        <v>622</v>
      </c>
      <c r="E9">
        <v>100637218566</v>
      </c>
      <c r="F9" s="1" t="s">
        <v>623</v>
      </c>
      <c r="G9"/>
      <c r="H9"/>
      <c r="I9"/>
      <c r="J9" s="74" t="s">
        <v>624</v>
      </c>
      <c r="K9" s="74" t="s">
        <v>625</v>
      </c>
      <c r="L9" t="s">
        <v>626</v>
      </c>
      <c r="M9" t="s">
        <v>626</v>
      </c>
      <c r="N9">
        <v>165</v>
      </c>
      <c r="O9">
        <v>5</v>
      </c>
      <c r="P9">
        <v>825</v>
      </c>
      <c r="Q9">
        <v>0</v>
      </c>
      <c r="R9">
        <v>65</v>
      </c>
      <c r="S9">
        <v>50</v>
      </c>
      <c r="T9">
        <v>875</v>
      </c>
      <c r="U9"/>
      <c r="V9">
        <v>0</v>
      </c>
      <c r="W9"/>
      <c r="X9" t="s">
        <v>627</v>
      </c>
      <c r="Y9" t="s">
        <v>628</v>
      </c>
      <c r="Z9">
        <v>916235596</v>
      </c>
      <c r="AA9">
        <v>826</v>
      </c>
      <c r="AB9"/>
      <c r="AC9"/>
      <c r="AD9"/>
      <c r="AE9"/>
      <c r="AF9" t="s">
        <v>649</v>
      </c>
      <c r="AG9" t="s">
        <v>606</v>
      </c>
      <c r="AH9" s="73">
        <v>44146.7344212963</v>
      </c>
      <c r="AI9" t="s">
        <v>655</v>
      </c>
      <c r="AJ9" t="s">
        <v>656</v>
      </c>
      <c r="AK9" t="s">
        <v>657</v>
      </c>
      <c r="AL9" t="s">
        <v>609</v>
      </c>
      <c r="AM9" t="s">
        <v>610</v>
      </c>
      <c r="AN9"/>
      <c r="AO9" t="s">
        <v>611</v>
      </c>
    </row>
    <row r="10" spans="1:41" ht="13.8" x14ac:dyDescent="0.25">
      <c r="A10" s="73">
        <v>44138.858240740738</v>
      </c>
      <c r="B10" s="73">
        <v>44142.814189814817</v>
      </c>
      <c r="C10">
        <v>10001433960951</v>
      </c>
      <c r="D10" t="s">
        <v>658</v>
      </c>
      <c r="E10">
        <v>100894903837</v>
      </c>
      <c r="F10" s="1" t="s">
        <v>632</v>
      </c>
      <c r="G10"/>
      <c r="H10"/>
      <c r="I10"/>
      <c r="J10" t="s">
        <v>659</v>
      </c>
      <c r="K10" t="s">
        <v>660</v>
      </c>
      <c r="L10" t="s">
        <v>661</v>
      </c>
      <c r="M10" t="s">
        <v>662</v>
      </c>
      <c r="N10">
        <v>39</v>
      </c>
      <c r="O10">
        <v>2</v>
      </c>
      <c r="P10">
        <v>78</v>
      </c>
      <c r="Q10">
        <v>0</v>
      </c>
      <c r="R10">
        <v>65</v>
      </c>
      <c r="S10">
        <v>65</v>
      </c>
      <c r="T10">
        <v>436</v>
      </c>
      <c r="U10">
        <v>436</v>
      </c>
      <c r="V10">
        <v>0</v>
      </c>
      <c r="W10"/>
      <c r="X10" t="s">
        <v>663</v>
      </c>
      <c r="Y10" t="s">
        <v>664</v>
      </c>
      <c r="Z10" t="s">
        <v>664</v>
      </c>
      <c r="AA10">
        <v>411</v>
      </c>
      <c r="AB10"/>
      <c r="AC10"/>
      <c r="AD10"/>
      <c r="AE10"/>
      <c r="AF10" t="s">
        <v>649</v>
      </c>
      <c r="AG10" t="s">
        <v>606</v>
      </c>
      <c r="AH10" s="73">
        <v>44139.733240740738</v>
      </c>
      <c r="AI10" t="s">
        <v>665</v>
      </c>
      <c r="AJ10">
        <v>4395</v>
      </c>
      <c r="AK10" t="s">
        <v>666</v>
      </c>
      <c r="AL10" t="s">
        <v>609</v>
      </c>
      <c r="AM10" t="s">
        <v>610</v>
      </c>
      <c r="AN10"/>
      <c r="AO10" t="s">
        <v>611</v>
      </c>
    </row>
    <row r="11" spans="1:41" ht="13.8" x14ac:dyDescent="0.25">
      <c r="A11" s="73">
        <v>44138.858240740738</v>
      </c>
      <c r="B11" s="73">
        <v>44142.814189814817</v>
      </c>
      <c r="C11">
        <v>10001433960951</v>
      </c>
      <c r="D11" t="s">
        <v>658</v>
      </c>
      <c r="E11">
        <v>100637218566</v>
      </c>
      <c r="F11" s="1" t="s">
        <v>623</v>
      </c>
      <c r="G11"/>
      <c r="H11"/>
      <c r="I11"/>
      <c r="J11" s="74" t="s">
        <v>667</v>
      </c>
      <c r="K11" s="74" t="s">
        <v>625</v>
      </c>
      <c r="L11" t="s">
        <v>661</v>
      </c>
      <c r="M11" t="s">
        <v>662</v>
      </c>
      <c r="N11">
        <v>179</v>
      </c>
      <c r="O11">
        <v>2</v>
      </c>
      <c r="P11">
        <v>358</v>
      </c>
      <c r="Q11">
        <v>0</v>
      </c>
      <c r="R11">
        <v>65</v>
      </c>
      <c r="S11">
        <v>65</v>
      </c>
      <c r="T11">
        <v>436</v>
      </c>
      <c r="U11">
        <v>436</v>
      </c>
      <c r="V11">
        <v>0</v>
      </c>
      <c r="W11"/>
      <c r="X11" t="s">
        <v>663</v>
      </c>
      <c r="Y11" t="s">
        <v>664</v>
      </c>
      <c r="Z11" t="s">
        <v>664</v>
      </c>
      <c r="AA11">
        <v>411</v>
      </c>
      <c r="AB11"/>
      <c r="AC11"/>
      <c r="AD11"/>
      <c r="AE11"/>
      <c r="AF11" t="s">
        <v>649</v>
      </c>
      <c r="AG11" t="s">
        <v>606</v>
      </c>
      <c r="AH11" s="73">
        <v>44139.733240740738</v>
      </c>
      <c r="AI11" t="s">
        <v>665</v>
      </c>
      <c r="AJ11">
        <v>4395</v>
      </c>
      <c r="AK11" t="s">
        <v>666</v>
      </c>
      <c r="AL11" t="s">
        <v>609</v>
      </c>
      <c r="AM11" t="s">
        <v>610</v>
      </c>
      <c r="AN11"/>
      <c r="AO11" t="s">
        <v>611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/>
  <dimension ref="A1:V21"/>
  <sheetViews>
    <sheetView workbookViewId="0">
      <selection activeCell="P29" sqref="P29"/>
    </sheetView>
  </sheetViews>
  <sheetFormatPr defaultRowHeight="13.2" x14ac:dyDescent="0.25"/>
  <cols>
    <col min="1" max="1" width="14" customWidth="1"/>
    <col min="2" max="2" width="21.5546875" customWidth="1"/>
    <col min="4" max="4" width="18.33203125" customWidth="1"/>
    <col min="6" max="6" width="27.88671875" customWidth="1"/>
    <col min="8" max="8" width="10" customWidth="1"/>
    <col min="16" max="16" width="14.109375" customWidth="1"/>
    <col min="17" max="17" width="37.6640625" customWidth="1"/>
  </cols>
  <sheetData>
    <row r="1" spans="1:22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26</v>
      </c>
      <c r="K1" t="s">
        <v>140</v>
      </c>
      <c r="L1" t="s">
        <v>141</v>
      </c>
      <c r="M1" t="s">
        <v>142</v>
      </c>
      <c r="N1" t="s">
        <v>143</v>
      </c>
      <c r="O1" t="s">
        <v>144</v>
      </c>
      <c r="P1" t="s">
        <v>145</v>
      </c>
      <c r="Q1" t="s">
        <v>146</v>
      </c>
      <c r="R1" t="s">
        <v>147</v>
      </c>
      <c r="S1" t="s">
        <v>148</v>
      </c>
      <c r="T1" t="s">
        <v>149</v>
      </c>
      <c r="U1" t="s">
        <v>150</v>
      </c>
      <c r="V1" t="s">
        <v>151</v>
      </c>
    </row>
    <row r="2" spans="1:22" ht="13.8" x14ac:dyDescent="0.25">
      <c r="A2" s="75">
        <v>44136</v>
      </c>
      <c r="B2" t="str">
        <f>"20110149020462"</f>
        <v>20110149020462</v>
      </c>
      <c r="D2" t="str">
        <f>"0976603320"</f>
        <v>0976603320</v>
      </c>
      <c r="E2" t="str">
        <f>"2182846889"</f>
        <v>2182846889</v>
      </c>
      <c r="F2" s="74" t="s">
        <v>668</v>
      </c>
      <c r="G2" t="s">
        <v>669</v>
      </c>
      <c r="H2" t="s">
        <v>670</v>
      </c>
      <c r="J2" t="str">
        <f>"5"</f>
        <v>5</v>
      </c>
      <c r="K2" t="str">
        <f>"69"</f>
        <v>69</v>
      </c>
      <c r="L2" t="s">
        <v>671</v>
      </c>
      <c r="M2">
        <v>0</v>
      </c>
      <c r="N2">
        <v>65</v>
      </c>
      <c r="O2">
        <v>755</v>
      </c>
      <c r="Q2" t="s">
        <v>672</v>
      </c>
      <c r="R2" t="s">
        <v>673</v>
      </c>
      <c r="S2" t="s">
        <v>674</v>
      </c>
      <c r="T2" t="s">
        <v>675</v>
      </c>
      <c r="U2" t="s">
        <v>675</v>
      </c>
      <c r="V2" t="s">
        <v>675</v>
      </c>
    </row>
    <row r="3" spans="1:22" ht="13.8" x14ac:dyDescent="0.25">
      <c r="A3" s="75">
        <v>44136</v>
      </c>
      <c r="B3" t="str">
        <f>"20110149020462"</f>
        <v>20110149020462</v>
      </c>
      <c r="D3" t="str">
        <f>"0976603320"</f>
        <v>0976603320</v>
      </c>
      <c r="E3" t="str">
        <f>"2182846889"</f>
        <v>2182846889</v>
      </c>
      <c r="F3" s="74" t="s">
        <v>668</v>
      </c>
      <c r="G3" t="s">
        <v>676</v>
      </c>
      <c r="H3" t="s">
        <v>670</v>
      </c>
      <c r="J3" t="str">
        <f>"5"</f>
        <v>5</v>
      </c>
      <c r="K3" t="str">
        <f>"69"</f>
        <v>69</v>
      </c>
      <c r="L3" t="s">
        <v>671</v>
      </c>
      <c r="M3">
        <v>0</v>
      </c>
      <c r="N3">
        <v>65</v>
      </c>
      <c r="O3">
        <v>755</v>
      </c>
      <c r="Q3" t="s">
        <v>672</v>
      </c>
      <c r="R3" t="s">
        <v>673</v>
      </c>
      <c r="S3" t="s">
        <v>674</v>
      </c>
      <c r="T3" t="s">
        <v>675</v>
      </c>
      <c r="U3" t="s">
        <v>675</v>
      </c>
      <c r="V3" t="s">
        <v>675</v>
      </c>
    </row>
    <row r="4" spans="1:22" ht="13.8" x14ac:dyDescent="0.25">
      <c r="A4" s="75">
        <v>44144</v>
      </c>
      <c r="B4" t="str">
        <f>"20110951724376"</f>
        <v>20110951724376</v>
      </c>
      <c r="D4" t="s">
        <v>677</v>
      </c>
      <c r="E4" t="str">
        <f>"21918331844060"</f>
        <v>21918331844060</v>
      </c>
      <c r="F4" s="74" t="s">
        <v>678</v>
      </c>
      <c r="G4" s="1" t="s">
        <v>67</v>
      </c>
      <c r="H4" t="s">
        <v>679</v>
      </c>
      <c r="J4" t="str">
        <f>"5"</f>
        <v>5</v>
      </c>
      <c r="K4" t="str">
        <f>"39"</f>
        <v>39</v>
      </c>
      <c r="L4" t="s">
        <v>680</v>
      </c>
      <c r="M4">
        <v>0</v>
      </c>
      <c r="N4">
        <v>65</v>
      </c>
      <c r="O4">
        <v>260</v>
      </c>
      <c r="Q4" t="s">
        <v>681</v>
      </c>
      <c r="R4" t="str">
        <f>"920110075754"</f>
        <v>920110075754</v>
      </c>
      <c r="S4" t="s">
        <v>682</v>
      </c>
      <c r="T4" t="s">
        <v>675</v>
      </c>
      <c r="U4" t="s">
        <v>675</v>
      </c>
      <c r="V4" t="s">
        <v>675</v>
      </c>
    </row>
    <row r="5" spans="1:22" ht="13.8" x14ac:dyDescent="0.25">
      <c r="A5" s="75">
        <v>44146</v>
      </c>
      <c r="B5" t="str">
        <f>"20111153014319"</f>
        <v>20111153014319</v>
      </c>
      <c r="D5" t="s">
        <v>683</v>
      </c>
      <c r="E5" t="str">
        <f>"2182846889"</f>
        <v>2182846889</v>
      </c>
      <c r="F5" s="74" t="s">
        <v>668</v>
      </c>
      <c r="G5" t="s">
        <v>676</v>
      </c>
      <c r="H5" t="s">
        <v>670</v>
      </c>
      <c r="J5" t="str">
        <f>"10"</f>
        <v>10</v>
      </c>
      <c r="K5" t="str">
        <f>"69"</f>
        <v>69</v>
      </c>
      <c r="L5" t="s">
        <v>680</v>
      </c>
      <c r="M5">
        <v>60</v>
      </c>
      <c r="N5">
        <v>65</v>
      </c>
      <c r="O5">
        <v>695</v>
      </c>
      <c r="P5" t="s">
        <v>684</v>
      </c>
      <c r="Q5" t="s">
        <v>685</v>
      </c>
      <c r="R5" t="str">
        <f>"920110536699"</f>
        <v>920110536699</v>
      </c>
      <c r="S5" t="s">
        <v>686</v>
      </c>
      <c r="T5" t="s">
        <v>675</v>
      </c>
      <c r="U5" t="s">
        <v>675</v>
      </c>
      <c r="V5" t="s">
        <v>675</v>
      </c>
    </row>
    <row r="6" spans="1:22" ht="13.8" x14ac:dyDescent="0.25">
      <c r="A6" s="75">
        <v>44156</v>
      </c>
      <c r="B6" t="str">
        <f>"20112156511383"</f>
        <v>20112156511383</v>
      </c>
      <c r="D6" t="s">
        <v>687</v>
      </c>
      <c r="E6" t="str">
        <f>"22013845202"</f>
        <v>22013845202</v>
      </c>
      <c r="F6" s="1" t="s">
        <v>688</v>
      </c>
      <c r="G6" s="1" t="s">
        <v>60</v>
      </c>
      <c r="H6" t="s">
        <v>689</v>
      </c>
      <c r="J6" t="str">
        <f>"5"</f>
        <v>5</v>
      </c>
      <c r="K6" t="str">
        <f>"39"</f>
        <v>39</v>
      </c>
      <c r="L6" t="s">
        <v>671</v>
      </c>
      <c r="M6">
        <v>0</v>
      </c>
      <c r="N6">
        <v>65</v>
      </c>
      <c r="O6">
        <v>950</v>
      </c>
      <c r="Q6" t="s">
        <v>690</v>
      </c>
      <c r="R6" t="s">
        <v>691</v>
      </c>
      <c r="S6" t="s">
        <v>692</v>
      </c>
      <c r="T6" t="s">
        <v>675</v>
      </c>
      <c r="U6" t="s">
        <v>675</v>
      </c>
      <c r="V6" t="s">
        <v>675</v>
      </c>
    </row>
    <row r="7" spans="1:22" ht="13.8" x14ac:dyDescent="0.25">
      <c r="A7" s="75">
        <v>44156</v>
      </c>
      <c r="B7" t="str">
        <f>"20112156511383"</f>
        <v>20112156511383</v>
      </c>
      <c r="D7" t="s">
        <v>687</v>
      </c>
      <c r="E7" t="str">
        <f>"2182846889"</f>
        <v>2182846889</v>
      </c>
      <c r="F7" s="74" t="s">
        <v>668</v>
      </c>
      <c r="G7" t="s">
        <v>669</v>
      </c>
      <c r="H7" t="s">
        <v>670</v>
      </c>
      <c r="J7" t="str">
        <f>"5"</f>
        <v>5</v>
      </c>
      <c r="K7" t="str">
        <f>"69"</f>
        <v>69</v>
      </c>
      <c r="L7" t="s">
        <v>671</v>
      </c>
      <c r="M7">
        <v>0</v>
      </c>
      <c r="N7">
        <v>65</v>
      </c>
      <c r="O7">
        <v>950</v>
      </c>
      <c r="Q7" t="s">
        <v>690</v>
      </c>
      <c r="R7" t="s">
        <v>691</v>
      </c>
      <c r="S7" t="s">
        <v>692</v>
      </c>
      <c r="T7" t="s">
        <v>675</v>
      </c>
      <c r="U7" t="s">
        <v>675</v>
      </c>
      <c r="V7" t="s">
        <v>675</v>
      </c>
    </row>
    <row r="8" spans="1:22" ht="13.8" x14ac:dyDescent="0.25">
      <c r="A8" s="75">
        <v>44156</v>
      </c>
      <c r="B8" t="str">
        <f>"20112156511383"</f>
        <v>20112156511383</v>
      </c>
      <c r="D8" t="s">
        <v>687</v>
      </c>
      <c r="E8" t="str">
        <f>"2182846889"</f>
        <v>2182846889</v>
      </c>
      <c r="F8" s="74" t="s">
        <v>668</v>
      </c>
      <c r="G8" t="s">
        <v>676</v>
      </c>
      <c r="H8" t="s">
        <v>670</v>
      </c>
      <c r="J8" t="str">
        <f>"5"</f>
        <v>5</v>
      </c>
      <c r="K8" t="str">
        <f>"69"</f>
        <v>69</v>
      </c>
      <c r="L8" t="s">
        <v>671</v>
      </c>
      <c r="M8">
        <v>0</v>
      </c>
      <c r="N8">
        <v>65</v>
      </c>
      <c r="O8">
        <v>950</v>
      </c>
      <c r="Q8" t="s">
        <v>690</v>
      </c>
      <c r="R8" t="s">
        <v>691</v>
      </c>
      <c r="S8" t="s">
        <v>692</v>
      </c>
      <c r="T8" t="s">
        <v>675</v>
      </c>
      <c r="U8" t="s">
        <v>675</v>
      </c>
      <c r="V8" t="s">
        <v>675</v>
      </c>
    </row>
    <row r="9" spans="1:22" ht="13.8" x14ac:dyDescent="0.25">
      <c r="A9" s="75">
        <v>44522</v>
      </c>
      <c r="B9" t="str">
        <f>"20082212231545"</f>
        <v>20082212231545</v>
      </c>
      <c r="D9" t="s">
        <v>693</v>
      </c>
      <c r="E9" t="str">
        <f t="shared" ref="E9:E15" si="0">"22031614204"</f>
        <v>22031614204</v>
      </c>
      <c r="F9" s="1" t="s">
        <v>694</v>
      </c>
      <c r="G9" s="1" t="s">
        <v>64</v>
      </c>
      <c r="H9" t="s">
        <v>695</v>
      </c>
      <c r="J9" t="str">
        <f t="shared" ref="J9:J16" si="1">"1"</f>
        <v>1</v>
      </c>
      <c r="K9" t="str">
        <f t="shared" ref="K9:K14" si="2">"39"</f>
        <v>39</v>
      </c>
      <c r="L9" t="s">
        <v>680</v>
      </c>
      <c r="M9">
        <v>0</v>
      </c>
      <c r="N9">
        <v>65</v>
      </c>
      <c r="O9">
        <v>104</v>
      </c>
      <c r="Q9" s="1" t="s">
        <v>696</v>
      </c>
      <c r="R9" t="str">
        <f>"92050715254"</f>
        <v>92050715254</v>
      </c>
      <c r="S9" t="s">
        <v>697</v>
      </c>
      <c r="T9" t="s">
        <v>675</v>
      </c>
      <c r="U9" t="s">
        <v>675</v>
      </c>
      <c r="V9" t="s">
        <v>675</v>
      </c>
    </row>
    <row r="10" spans="1:22" ht="13.8" x14ac:dyDescent="0.25">
      <c r="A10" s="75">
        <v>44163</v>
      </c>
      <c r="B10" t="str">
        <f t="shared" ref="B10:B15" si="3">"20082126331374"</f>
        <v>20082126331374</v>
      </c>
      <c r="D10" t="s">
        <v>693</v>
      </c>
      <c r="E10" t="str">
        <f t="shared" si="0"/>
        <v>22031614204</v>
      </c>
      <c r="F10" s="1" t="s">
        <v>694</v>
      </c>
      <c r="G10" s="1" t="s">
        <v>64</v>
      </c>
      <c r="H10" t="s">
        <v>698</v>
      </c>
      <c r="J10" t="str">
        <f t="shared" si="1"/>
        <v>1</v>
      </c>
      <c r="K10" t="str">
        <f t="shared" si="2"/>
        <v>39</v>
      </c>
      <c r="L10" t="s">
        <v>680</v>
      </c>
      <c r="M10">
        <v>0</v>
      </c>
      <c r="N10">
        <v>65</v>
      </c>
      <c r="O10">
        <v>478</v>
      </c>
      <c r="Q10" t="s">
        <v>699</v>
      </c>
      <c r="R10" t="str">
        <f t="shared" ref="R10:R15" si="4">"920082715236"</f>
        <v>920082715236</v>
      </c>
      <c r="S10" t="s">
        <v>697</v>
      </c>
      <c r="T10" t="s">
        <v>675</v>
      </c>
      <c r="U10" t="s">
        <v>675</v>
      </c>
      <c r="V10" t="s">
        <v>675</v>
      </c>
    </row>
    <row r="11" spans="1:22" ht="13.8" x14ac:dyDescent="0.25">
      <c r="A11" s="75">
        <v>44163</v>
      </c>
      <c r="B11" t="str">
        <f t="shared" si="3"/>
        <v>20082126331374</v>
      </c>
      <c r="D11" t="s">
        <v>693</v>
      </c>
      <c r="E11" t="str">
        <f t="shared" si="0"/>
        <v>22031614204</v>
      </c>
      <c r="F11" s="1" t="s">
        <v>694</v>
      </c>
      <c r="G11" s="1" t="s">
        <v>69</v>
      </c>
      <c r="H11" t="s">
        <v>695</v>
      </c>
      <c r="J11" t="str">
        <f t="shared" si="1"/>
        <v>1</v>
      </c>
      <c r="K11" t="str">
        <f t="shared" si="2"/>
        <v>39</v>
      </c>
      <c r="L11" t="s">
        <v>680</v>
      </c>
      <c r="M11">
        <v>0</v>
      </c>
      <c r="N11">
        <v>65</v>
      </c>
      <c r="O11">
        <v>478</v>
      </c>
      <c r="Q11" t="s">
        <v>699</v>
      </c>
      <c r="R11" t="str">
        <f t="shared" si="4"/>
        <v>920082715236</v>
      </c>
      <c r="S11" t="s">
        <v>697</v>
      </c>
      <c r="T11" t="s">
        <v>675</v>
      </c>
      <c r="U11" t="s">
        <v>675</v>
      </c>
      <c r="V11" t="s">
        <v>675</v>
      </c>
    </row>
    <row r="12" spans="1:22" ht="13.8" x14ac:dyDescent="0.25">
      <c r="A12" s="75">
        <v>44163</v>
      </c>
      <c r="B12" t="str">
        <f t="shared" si="3"/>
        <v>20082126331374</v>
      </c>
      <c r="D12" t="s">
        <v>693</v>
      </c>
      <c r="E12" t="str">
        <f t="shared" si="0"/>
        <v>22031614204</v>
      </c>
      <c r="F12" s="1" t="s">
        <v>694</v>
      </c>
      <c r="G12" s="1" t="s">
        <v>66</v>
      </c>
      <c r="H12" t="s">
        <v>695</v>
      </c>
      <c r="J12" t="str">
        <f t="shared" si="1"/>
        <v>1</v>
      </c>
      <c r="K12" t="str">
        <f t="shared" si="2"/>
        <v>39</v>
      </c>
      <c r="L12" t="s">
        <v>680</v>
      </c>
      <c r="M12">
        <v>0</v>
      </c>
      <c r="N12">
        <v>65</v>
      </c>
      <c r="O12">
        <v>478</v>
      </c>
      <c r="Q12" t="s">
        <v>699</v>
      </c>
      <c r="R12" t="str">
        <f t="shared" si="4"/>
        <v>920082715236</v>
      </c>
      <c r="S12" t="s">
        <v>697</v>
      </c>
      <c r="T12" t="s">
        <v>675</v>
      </c>
      <c r="U12" t="s">
        <v>675</v>
      </c>
      <c r="V12" t="s">
        <v>675</v>
      </c>
    </row>
    <row r="13" spans="1:22" ht="13.8" x14ac:dyDescent="0.25">
      <c r="A13" s="75">
        <v>44163</v>
      </c>
      <c r="B13" t="str">
        <f t="shared" si="3"/>
        <v>20082126331374</v>
      </c>
      <c r="D13" t="s">
        <v>693</v>
      </c>
      <c r="E13" t="str">
        <f t="shared" si="0"/>
        <v>22031614204</v>
      </c>
      <c r="F13" s="1" t="s">
        <v>694</v>
      </c>
      <c r="G13" s="1" t="s">
        <v>700</v>
      </c>
      <c r="H13" t="s">
        <v>695</v>
      </c>
      <c r="J13" t="str">
        <f t="shared" si="1"/>
        <v>1</v>
      </c>
      <c r="K13" t="str">
        <f t="shared" si="2"/>
        <v>39</v>
      </c>
      <c r="L13" t="s">
        <v>680</v>
      </c>
      <c r="M13">
        <v>0</v>
      </c>
      <c r="N13">
        <v>65</v>
      </c>
      <c r="O13">
        <v>478</v>
      </c>
      <c r="Q13" t="s">
        <v>699</v>
      </c>
      <c r="R13" t="str">
        <f t="shared" si="4"/>
        <v>920082715236</v>
      </c>
      <c r="S13" t="s">
        <v>697</v>
      </c>
      <c r="T13" t="s">
        <v>675</v>
      </c>
      <c r="U13" t="s">
        <v>675</v>
      </c>
      <c r="V13" t="s">
        <v>675</v>
      </c>
    </row>
    <row r="14" spans="1:22" ht="13.8" x14ac:dyDescent="0.25">
      <c r="A14" s="75">
        <v>44163</v>
      </c>
      <c r="B14" t="str">
        <f t="shared" si="3"/>
        <v>20082126331374</v>
      </c>
      <c r="D14" t="s">
        <v>693</v>
      </c>
      <c r="E14" t="str">
        <f t="shared" si="0"/>
        <v>22031614204</v>
      </c>
      <c r="F14" s="1" t="s">
        <v>694</v>
      </c>
      <c r="G14" t="s">
        <v>46</v>
      </c>
      <c r="H14" t="s">
        <v>695</v>
      </c>
      <c r="J14" t="str">
        <f t="shared" si="1"/>
        <v>1</v>
      </c>
      <c r="K14" t="str">
        <f t="shared" si="2"/>
        <v>39</v>
      </c>
      <c r="L14" t="s">
        <v>680</v>
      </c>
      <c r="M14">
        <v>0</v>
      </c>
      <c r="N14">
        <v>65</v>
      </c>
      <c r="O14">
        <v>478</v>
      </c>
      <c r="Q14" t="s">
        <v>699</v>
      </c>
      <c r="R14" t="str">
        <f t="shared" si="4"/>
        <v>920082715236</v>
      </c>
      <c r="S14" t="s">
        <v>697</v>
      </c>
      <c r="T14" t="s">
        <v>675</v>
      </c>
      <c r="U14" t="s">
        <v>675</v>
      </c>
      <c r="V14" t="s">
        <v>675</v>
      </c>
    </row>
    <row r="15" spans="1:22" ht="13.8" x14ac:dyDescent="0.25">
      <c r="A15" s="75">
        <v>44163</v>
      </c>
      <c r="B15" t="str">
        <f t="shared" si="3"/>
        <v>20082126331374</v>
      </c>
      <c r="D15" t="s">
        <v>693</v>
      </c>
      <c r="E15" t="str">
        <f t="shared" si="0"/>
        <v>22031614204</v>
      </c>
      <c r="F15" t="s">
        <v>701</v>
      </c>
      <c r="G15" t="s">
        <v>702</v>
      </c>
      <c r="H15" t="s">
        <v>703</v>
      </c>
      <c r="J15" t="str">
        <f t="shared" si="1"/>
        <v>1</v>
      </c>
      <c r="K15" t="str">
        <f>"179"</f>
        <v>179</v>
      </c>
      <c r="L15" t="s">
        <v>680</v>
      </c>
      <c r="M15">
        <v>0</v>
      </c>
      <c r="N15">
        <v>65</v>
      </c>
      <c r="O15">
        <v>478</v>
      </c>
      <c r="Q15" t="s">
        <v>699</v>
      </c>
      <c r="R15" t="str">
        <f t="shared" si="4"/>
        <v>920082715236</v>
      </c>
      <c r="S15" t="s">
        <v>697</v>
      </c>
      <c r="T15" t="s">
        <v>675</v>
      </c>
      <c r="U15" t="s">
        <v>675</v>
      </c>
      <c r="V15" t="s">
        <v>675</v>
      </c>
    </row>
    <row r="16" spans="1:22" ht="13.8" x14ac:dyDescent="0.25">
      <c r="A16" s="75">
        <v>44164</v>
      </c>
      <c r="B16" t="str">
        <f>"20080220114364"</f>
        <v>20080220114364</v>
      </c>
      <c r="D16" t="s">
        <v>704</v>
      </c>
      <c r="E16" t="str">
        <f>"21924445310"</f>
        <v>21924445310</v>
      </c>
      <c r="F16" t="s">
        <v>701</v>
      </c>
      <c r="G16" t="s">
        <v>702</v>
      </c>
      <c r="H16" t="s">
        <v>703</v>
      </c>
      <c r="J16" t="str">
        <f t="shared" si="1"/>
        <v>1</v>
      </c>
      <c r="K16" t="str">
        <f>"179"</f>
        <v>179</v>
      </c>
      <c r="L16" t="s">
        <v>671</v>
      </c>
      <c r="M16">
        <v>0</v>
      </c>
      <c r="N16">
        <v>65</v>
      </c>
      <c r="O16">
        <v>244</v>
      </c>
      <c r="Q16" t="s">
        <v>705</v>
      </c>
      <c r="R16" t="s">
        <v>706</v>
      </c>
      <c r="S16" t="s">
        <v>707</v>
      </c>
      <c r="T16" t="s">
        <v>675</v>
      </c>
      <c r="U16" t="s">
        <v>675</v>
      </c>
      <c r="V16" t="s">
        <v>675</v>
      </c>
    </row>
    <row r="17" spans="1:22" x14ac:dyDescent="0.25">
      <c r="A17" s="75">
        <v>44479</v>
      </c>
      <c r="B17">
        <v>21101062485429</v>
      </c>
      <c r="C17" s="75">
        <v>44479</v>
      </c>
      <c r="D17" t="s">
        <v>858</v>
      </c>
      <c r="E17">
        <v>21825474346889</v>
      </c>
      <c r="F17" t="s">
        <v>859</v>
      </c>
      <c r="G17" t="s">
        <v>860</v>
      </c>
      <c r="H17" t="s">
        <v>861</v>
      </c>
      <c r="J17">
        <v>10</v>
      </c>
      <c r="K17">
        <v>69</v>
      </c>
      <c r="L17" t="s">
        <v>862</v>
      </c>
      <c r="M17">
        <v>0</v>
      </c>
      <c r="N17">
        <v>65</v>
      </c>
      <c r="O17">
        <v>755</v>
      </c>
      <c r="Q17" t="s">
        <v>863</v>
      </c>
      <c r="R17" t="s">
        <v>864</v>
      </c>
      <c r="S17" t="s">
        <v>865</v>
      </c>
      <c r="T17" t="s">
        <v>675</v>
      </c>
      <c r="U17" t="s">
        <v>675</v>
      </c>
      <c r="V17" t="s">
        <v>675</v>
      </c>
    </row>
    <row r="18" spans="1:22" x14ac:dyDescent="0.25">
      <c r="A18" s="75">
        <v>44775</v>
      </c>
      <c r="B18">
        <v>22080240013644</v>
      </c>
      <c r="D18" t="s">
        <v>988</v>
      </c>
      <c r="E18">
        <v>21828333346889</v>
      </c>
      <c r="F18" t="s">
        <v>989</v>
      </c>
      <c r="G18" t="s">
        <v>860</v>
      </c>
      <c r="H18" t="s">
        <v>990</v>
      </c>
      <c r="J18">
        <v>2</v>
      </c>
      <c r="K18">
        <v>67</v>
      </c>
      <c r="L18" t="s">
        <v>671</v>
      </c>
      <c r="M18">
        <v>0</v>
      </c>
      <c r="N18">
        <v>65</v>
      </c>
      <c r="O18">
        <v>601</v>
      </c>
      <c r="Q18" t="s">
        <v>991</v>
      </c>
      <c r="R18" t="s">
        <v>992</v>
      </c>
      <c r="S18" t="s">
        <v>993</v>
      </c>
      <c r="T18" t="s">
        <v>675</v>
      </c>
      <c r="U18" t="s">
        <v>675</v>
      </c>
      <c r="V18" t="s">
        <v>675</v>
      </c>
    </row>
    <row r="19" spans="1:22" x14ac:dyDescent="0.25">
      <c r="A19" s="75">
        <v>44775</v>
      </c>
      <c r="B19">
        <v>22080240013644</v>
      </c>
      <c r="D19" t="s">
        <v>988</v>
      </c>
      <c r="E19">
        <v>21828333346889</v>
      </c>
      <c r="F19" t="s">
        <v>989</v>
      </c>
      <c r="G19" t="s">
        <v>46</v>
      </c>
      <c r="H19" t="s">
        <v>990</v>
      </c>
      <c r="J19">
        <v>2</v>
      </c>
      <c r="K19">
        <v>67</v>
      </c>
      <c r="L19" t="s">
        <v>671</v>
      </c>
      <c r="M19">
        <v>0</v>
      </c>
      <c r="N19">
        <v>65</v>
      </c>
      <c r="O19">
        <v>601</v>
      </c>
      <c r="Q19" t="s">
        <v>991</v>
      </c>
      <c r="R19" t="s">
        <v>992</v>
      </c>
      <c r="S19" t="s">
        <v>993</v>
      </c>
      <c r="T19" t="s">
        <v>675</v>
      </c>
      <c r="U19" t="s">
        <v>675</v>
      </c>
      <c r="V19" t="s">
        <v>675</v>
      </c>
    </row>
    <row r="20" spans="1:22" x14ac:dyDescent="0.25">
      <c r="A20" s="75">
        <v>44775</v>
      </c>
      <c r="B20">
        <v>22080240013644</v>
      </c>
      <c r="D20" t="s">
        <v>988</v>
      </c>
      <c r="E20">
        <v>21828333346889</v>
      </c>
      <c r="F20" t="s">
        <v>989</v>
      </c>
      <c r="G20" t="s">
        <v>676</v>
      </c>
      <c r="H20" t="s">
        <v>990</v>
      </c>
      <c r="J20">
        <v>2</v>
      </c>
      <c r="K20">
        <v>67</v>
      </c>
      <c r="L20" t="s">
        <v>671</v>
      </c>
      <c r="M20">
        <v>0</v>
      </c>
      <c r="N20">
        <v>65</v>
      </c>
      <c r="O20">
        <v>601</v>
      </c>
      <c r="Q20" t="s">
        <v>991</v>
      </c>
      <c r="R20" t="s">
        <v>992</v>
      </c>
      <c r="S20" t="s">
        <v>993</v>
      </c>
      <c r="T20" t="s">
        <v>675</v>
      </c>
      <c r="U20" t="s">
        <v>675</v>
      </c>
      <c r="V20" t="s">
        <v>675</v>
      </c>
    </row>
    <row r="21" spans="1:22" x14ac:dyDescent="0.25">
      <c r="A21" s="75">
        <v>44775</v>
      </c>
      <c r="B21">
        <v>22080240013644</v>
      </c>
      <c r="D21" t="s">
        <v>988</v>
      </c>
      <c r="E21">
        <v>21828333346889</v>
      </c>
      <c r="F21" t="s">
        <v>989</v>
      </c>
      <c r="G21" t="s">
        <v>669</v>
      </c>
      <c r="H21" t="s">
        <v>990</v>
      </c>
      <c r="J21">
        <v>2</v>
      </c>
      <c r="K21">
        <v>67</v>
      </c>
      <c r="L21" t="s">
        <v>671</v>
      </c>
      <c r="M21">
        <v>0</v>
      </c>
      <c r="N21">
        <v>65</v>
      </c>
      <c r="O21">
        <v>601</v>
      </c>
      <c r="Q21" t="s">
        <v>991</v>
      </c>
      <c r="R21" t="s">
        <v>992</v>
      </c>
      <c r="S21" t="s">
        <v>993</v>
      </c>
      <c r="T21" t="s">
        <v>675</v>
      </c>
      <c r="U21" t="s">
        <v>675</v>
      </c>
      <c r="V21" t="s">
        <v>675</v>
      </c>
    </row>
  </sheetData>
  <autoFilter ref="A1:V1" xr:uid="{00000000-0009-0000-0000-000004000000}"/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AV96"/>
  <sheetViews>
    <sheetView workbookViewId="0">
      <pane ySplit="1" topLeftCell="A53" activePane="bottomLeft" state="frozen"/>
      <selection activeCell="G1" sqref="G1"/>
      <selection pane="bottomLeft" activeCell="A64" sqref="A64"/>
    </sheetView>
  </sheetViews>
  <sheetFormatPr defaultRowHeight="13.2" x14ac:dyDescent="0.25"/>
  <cols>
    <col min="1" max="1" width="17.88671875" bestFit="1" customWidth="1"/>
    <col min="2" max="2" width="15.44140625" customWidth="1"/>
    <col min="4" max="4" width="18.5546875" customWidth="1"/>
    <col min="6" max="6" width="18.44140625" customWidth="1"/>
    <col min="14" max="14" width="14.33203125" customWidth="1"/>
    <col min="16" max="16" width="9.88671875" customWidth="1"/>
    <col min="17" max="17" width="11.33203125" customWidth="1"/>
    <col min="18" max="18" width="12" customWidth="1"/>
    <col min="19" max="19" width="12.33203125" customWidth="1"/>
    <col min="20" max="20" width="10.33203125" bestFit="1" customWidth="1"/>
    <col min="22" max="22" width="36.44140625" customWidth="1"/>
    <col min="23" max="23" width="24.33203125" customWidth="1"/>
    <col min="24" max="24" width="15.5546875" customWidth="1"/>
    <col min="25" max="25" width="11.109375" customWidth="1"/>
    <col min="30" max="30" width="41.44140625" customWidth="1"/>
    <col min="42" max="42" width="25.33203125" customWidth="1"/>
    <col min="43" max="43" width="21.109375" customWidth="1"/>
  </cols>
  <sheetData>
    <row r="1" spans="1:48" ht="13.8" x14ac:dyDescent="0.25">
      <c r="A1" t="s">
        <v>0</v>
      </c>
      <c r="B1" t="s">
        <v>1</v>
      </c>
      <c r="C1" s="99" t="s">
        <v>819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s="7" t="s">
        <v>129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</row>
    <row r="2" spans="1:48" ht="13.8" x14ac:dyDescent="0.25">
      <c r="A2" s="52" t="s">
        <v>388</v>
      </c>
      <c r="B2" s="52" t="s">
        <v>389</v>
      </c>
      <c r="C2" s="52"/>
      <c r="D2" s="52"/>
      <c r="E2" s="53" t="s">
        <v>390</v>
      </c>
      <c r="F2" s="52" t="s">
        <v>391</v>
      </c>
      <c r="G2" s="52" t="s">
        <v>392</v>
      </c>
      <c r="H2" s="52" t="s">
        <v>393</v>
      </c>
      <c r="I2" s="52" t="s">
        <v>394</v>
      </c>
      <c r="J2" s="52" t="s">
        <v>393</v>
      </c>
      <c r="K2" s="52">
        <v>18</v>
      </c>
      <c r="L2" s="52" t="s">
        <v>393</v>
      </c>
      <c r="M2" s="52" t="s">
        <v>395</v>
      </c>
      <c r="N2" s="52" t="s">
        <v>393</v>
      </c>
      <c r="O2" s="52" t="s">
        <v>393</v>
      </c>
      <c r="P2" s="52" t="s">
        <v>393</v>
      </c>
      <c r="Q2" s="52" t="s">
        <v>396</v>
      </c>
      <c r="R2" s="52" t="s">
        <v>397</v>
      </c>
      <c r="S2" s="52" t="s">
        <v>398</v>
      </c>
      <c r="T2" s="52"/>
      <c r="U2" s="52" t="s">
        <v>399</v>
      </c>
      <c r="V2" s="54" t="s">
        <v>400</v>
      </c>
      <c r="W2" s="53" t="s">
        <v>401</v>
      </c>
      <c r="X2" s="52" t="s">
        <v>402</v>
      </c>
      <c r="Y2" s="52"/>
      <c r="Z2" s="52"/>
      <c r="AA2" s="52"/>
      <c r="AB2" s="52">
        <v>1</v>
      </c>
      <c r="AC2" s="52" t="s">
        <v>403</v>
      </c>
      <c r="AD2" s="52"/>
      <c r="AE2" s="52" t="s">
        <v>404</v>
      </c>
      <c r="AF2" s="52" t="s">
        <v>405</v>
      </c>
      <c r="AG2" s="52" t="s">
        <v>406</v>
      </c>
      <c r="AH2" s="52"/>
      <c r="AI2" s="52" t="s">
        <v>407</v>
      </c>
      <c r="AJ2" s="52"/>
      <c r="AK2" s="52" t="s">
        <v>408</v>
      </c>
      <c r="AL2" s="52" t="s">
        <v>409</v>
      </c>
      <c r="AM2" s="52" t="s">
        <v>410</v>
      </c>
      <c r="AN2" s="52"/>
      <c r="AO2" s="52" t="s">
        <v>411</v>
      </c>
      <c r="AP2" s="52" t="s">
        <v>412</v>
      </c>
      <c r="AQ2" s="52" t="s">
        <v>413</v>
      </c>
      <c r="AR2" s="52" t="s">
        <v>391</v>
      </c>
      <c r="AS2" s="52" t="s">
        <v>414</v>
      </c>
      <c r="AT2" s="52" t="s">
        <v>415</v>
      </c>
      <c r="AU2" s="52"/>
      <c r="AV2" s="52"/>
    </row>
    <row r="3" spans="1:48" ht="13.8" x14ac:dyDescent="0.25">
      <c r="A3" s="52" t="s">
        <v>388</v>
      </c>
      <c r="B3" s="52" t="s">
        <v>389</v>
      </c>
      <c r="C3" s="52"/>
      <c r="D3" s="52"/>
      <c r="E3" s="53" t="s">
        <v>390</v>
      </c>
      <c r="F3" s="52" t="s">
        <v>391</v>
      </c>
      <c r="G3" s="52" t="s">
        <v>392</v>
      </c>
      <c r="H3" s="52" t="s">
        <v>393</v>
      </c>
      <c r="I3" s="52" t="s">
        <v>394</v>
      </c>
      <c r="J3" s="52" t="s">
        <v>393</v>
      </c>
      <c r="K3" s="52">
        <v>18</v>
      </c>
      <c r="L3" s="52" t="s">
        <v>393</v>
      </c>
      <c r="M3" s="52" t="s">
        <v>395</v>
      </c>
      <c r="N3" s="52" t="s">
        <v>393</v>
      </c>
      <c r="O3" s="52" t="s">
        <v>393</v>
      </c>
      <c r="P3" s="52" t="s">
        <v>393</v>
      </c>
      <c r="Q3" s="52" t="s">
        <v>396</v>
      </c>
      <c r="R3" s="52" t="s">
        <v>397</v>
      </c>
      <c r="S3" s="52" t="s">
        <v>398</v>
      </c>
      <c r="T3" s="52"/>
      <c r="U3" s="52" t="s">
        <v>399</v>
      </c>
      <c r="V3" s="54" t="s">
        <v>400</v>
      </c>
      <c r="W3" s="53" t="s">
        <v>416</v>
      </c>
      <c r="X3" s="52" t="s">
        <v>402</v>
      </c>
      <c r="Y3" s="52"/>
      <c r="Z3" s="52"/>
      <c r="AA3" s="52"/>
      <c r="AB3" s="52">
        <v>1</v>
      </c>
      <c r="AC3" s="52" t="s">
        <v>403</v>
      </c>
      <c r="AD3" s="52"/>
      <c r="AE3" s="52" t="s">
        <v>404</v>
      </c>
      <c r="AF3" s="52" t="s">
        <v>405</v>
      </c>
      <c r="AG3" s="52" t="s">
        <v>406</v>
      </c>
      <c r="AH3" s="52"/>
      <c r="AI3" s="52" t="s">
        <v>407</v>
      </c>
      <c r="AJ3" s="52"/>
      <c r="AK3" s="52" t="s">
        <v>408</v>
      </c>
      <c r="AL3" s="52" t="s">
        <v>409</v>
      </c>
      <c r="AM3" s="52" t="s">
        <v>410</v>
      </c>
      <c r="AN3" s="52"/>
      <c r="AO3" s="52" t="s">
        <v>411</v>
      </c>
      <c r="AP3" s="52" t="s">
        <v>412</v>
      </c>
      <c r="AQ3" s="52" t="s">
        <v>413</v>
      </c>
      <c r="AR3" s="52" t="s">
        <v>391</v>
      </c>
      <c r="AS3" s="52" t="s">
        <v>414</v>
      </c>
      <c r="AT3" s="52" t="s">
        <v>415</v>
      </c>
      <c r="AU3" s="52"/>
      <c r="AV3" s="52"/>
    </row>
    <row r="4" spans="1:48" ht="13.8" x14ac:dyDescent="0.25">
      <c r="A4" s="55" t="s">
        <v>417</v>
      </c>
      <c r="B4" s="56" t="s">
        <v>418</v>
      </c>
      <c r="C4" s="56" t="s">
        <v>419</v>
      </c>
      <c r="D4" s="56"/>
      <c r="E4" s="55" t="s">
        <v>420</v>
      </c>
      <c r="F4" s="56" t="s">
        <v>421</v>
      </c>
      <c r="G4" s="56" t="s">
        <v>422</v>
      </c>
      <c r="H4" s="56" t="s">
        <v>393</v>
      </c>
      <c r="I4" s="56" t="s">
        <v>423</v>
      </c>
      <c r="J4" s="56" t="s">
        <v>393</v>
      </c>
      <c r="K4" s="56">
        <v>25</v>
      </c>
      <c r="L4" s="56" t="s">
        <v>393</v>
      </c>
      <c r="M4" s="56" t="s">
        <v>424</v>
      </c>
      <c r="N4" s="56" t="s">
        <v>393</v>
      </c>
      <c r="O4" s="56" t="s">
        <v>393</v>
      </c>
      <c r="P4" s="56" t="s">
        <v>393</v>
      </c>
      <c r="Q4" s="56" t="s">
        <v>397</v>
      </c>
      <c r="R4" s="56" t="s">
        <v>425</v>
      </c>
      <c r="S4" s="56" t="s">
        <v>426</v>
      </c>
      <c r="T4" s="56"/>
      <c r="U4" s="56" t="s">
        <v>399</v>
      </c>
      <c r="V4" s="57" t="s">
        <v>427</v>
      </c>
      <c r="W4" s="57" t="s">
        <v>428</v>
      </c>
      <c r="X4" s="56" t="s">
        <v>429</v>
      </c>
      <c r="Y4" s="56" t="s">
        <v>430</v>
      </c>
      <c r="Z4" s="56"/>
      <c r="AA4" s="56"/>
      <c r="AB4" s="56">
        <v>1</v>
      </c>
      <c r="AC4" s="56" t="s">
        <v>403</v>
      </c>
      <c r="AD4" s="56"/>
      <c r="AE4" s="56" t="s">
        <v>431</v>
      </c>
      <c r="AF4" s="56" t="s">
        <v>432</v>
      </c>
      <c r="AG4" s="56" t="s">
        <v>433</v>
      </c>
      <c r="AH4" s="56"/>
      <c r="AI4" s="56" t="s">
        <v>434</v>
      </c>
      <c r="AJ4" s="56"/>
      <c r="AK4" s="56" t="s">
        <v>435</v>
      </c>
      <c r="AL4" s="56" t="s">
        <v>409</v>
      </c>
      <c r="AM4" s="56" t="s">
        <v>410</v>
      </c>
      <c r="AN4" s="56"/>
      <c r="AO4" s="56" t="s">
        <v>411</v>
      </c>
      <c r="AP4" s="56" t="s">
        <v>436</v>
      </c>
      <c r="AQ4" s="56"/>
      <c r="AR4" s="56" t="s">
        <v>421</v>
      </c>
      <c r="AS4" s="56"/>
      <c r="AT4" s="56"/>
      <c r="AU4" s="56"/>
      <c r="AV4" s="56"/>
    </row>
    <row r="5" spans="1:48" ht="13.8" x14ac:dyDescent="0.25">
      <c r="A5" s="56" t="s">
        <v>437</v>
      </c>
      <c r="B5" s="56" t="s">
        <v>418</v>
      </c>
      <c r="C5" s="56" t="s">
        <v>419</v>
      </c>
      <c r="D5" s="56"/>
      <c r="E5" s="55" t="s">
        <v>420</v>
      </c>
      <c r="F5" s="56" t="s">
        <v>421</v>
      </c>
      <c r="G5" s="56" t="s">
        <v>422</v>
      </c>
      <c r="H5" s="56" t="s">
        <v>393</v>
      </c>
      <c r="I5" s="56" t="s">
        <v>423</v>
      </c>
      <c r="J5" s="56" t="s">
        <v>393</v>
      </c>
      <c r="K5" s="56">
        <v>25</v>
      </c>
      <c r="L5" s="56" t="s">
        <v>393</v>
      </c>
      <c r="M5" s="56" t="s">
        <v>424</v>
      </c>
      <c r="N5" s="56" t="s">
        <v>393</v>
      </c>
      <c r="O5" s="56" t="s">
        <v>393</v>
      </c>
      <c r="P5" s="56" t="s">
        <v>393</v>
      </c>
      <c r="Q5" s="56" t="s">
        <v>397</v>
      </c>
      <c r="R5" s="56" t="s">
        <v>425</v>
      </c>
      <c r="S5" s="56" t="s">
        <v>426</v>
      </c>
      <c r="T5" s="56"/>
      <c r="U5" s="56" t="s">
        <v>399</v>
      </c>
      <c r="V5" s="57" t="s">
        <v>427</v>
      </c>
      <c r="W5" s="57" t="s">
        <v>56</v>
      </c>
      <c r="X5" s="56" t="s">
        <v>429</v>
      </c>
      <c r="Y5" s="56" t="s">
        <v>430</v>
      </c>
      <c r="Z5" s="56"/>
      <c r="AA5" s="56"/>
      <c r="AB5" s="56">
        <v>1</v>
      </c>
      <c r="AC5" s="56" t="s">
        <v>403</v>
      </c>
      <c r="AD5" s="56"/>
      <c r="AE5" s="56" t="s">
        <v>431</v>
      </c>
      <c r="AF5" s="56" t="s">
        <v>432</v>
      </c>
      <c r="AG5" s="56" t="s">
        <v>433</v>
      </c>
      <c r="AH5" s="56"/>
      <c r="AI5" s="56" t="s">
        <v>434</v>
      </c>
      <c r="AJ5" s="56"/>
      <c r="AK5" s="56" t="s">
        <v>435</v>
      </c>
      <c r="AL5" s="56" t="s">
        <v>409</v>
      </c>
      <c r="AM5" s="56" t="s">
        <v>410</v>
      </c>
      <c r="AN5" s="56"/>
      <c r="AO5" s="56" t="s">
        <v>411</v>
      </c>
      <c r="AP5" s="56" t="s">
        <v>436</v>
      </c>
      <c r="AQ5" s="56"/>
      <c r="AR5" s="56" t="s">
        <v>421</v>
      </c>
      <c r="AS5" s="56"/>
      <c r="AT5" s="56"/>
      <c r="AU5" s="56"/>
      <c r="AV5" s="56"/>
    </row>
    <row r="6" spans="1:48" ht="13.8" x14ac:dyDescent="0.25">
      <c r="A6" s="58" t="s">
        <v>438</v>
      </c>
      <c r="B6" s="58" t="s">
        <v>389</v>
      </c>
      <c r="C6" s="58"/>
      <c r="D6" s="58"/>
      <c r="E6" s="59" t="s">
        <v>439</v>
      </c>
      <c r="F6" s="58" t="s">
        <v>440</v>
      </c>
      <c r="G6" s="58" t="s">
        <v>441</v>
      </c>
      <c r="H6" s="58" t="s">
        <v>442</v>
      </c>
      <c r="I6" s="58" t="s">
        <v>443</v>
      </c>
      <c r="J6" s="58" t="s">
        <v>393</v>
      </c>
      <c r="K6" s="58">
        <v>0</v>
      </c>
      <c r="L6" s="58" t="s">
        <v>393</v>
      </c>
      <c r="M6" s="58"/>
      <c r="N6" s="58" t="s">
        <v>393</v>
      </c>
      <c r="O6" s="58" t="s">
        <v>393</v>
      </c>
      <c r="P6" s="58" t="s">
        <v>393</v>
      </c>
      <c r="Q6" s="58" t="s">
        <v>444</v>
      </c>
      <c r="R6" s="58" t="s">
        <v>445</v>
      </c>
      <c r="S6" s="58" t="s">
        <v>396</v>
      </c>
      <c r="T6" s="58"/>
      <c r="U6" s="58" t="s">
        <v>399</v>
      </c>
      <c r="V6" s="60" t="s">
        <v>427</v>
      </c>
      <c r="W6" s="60" t="s">
        <v>446</v>
      </c>
      <c r="X6" s="58" t="s">
        <v>429</v>
      </c>
      <c r="Y6" s="58" t="s">
        <v>430</v>
      </c>
      <c r="Z6" s="58"/>
      <c r="AA6" s="58"/>
      <c r="AB6" s="58">
        <v>1</v>
      </c>
      <c r="AC6" s="58" t="s">
        <v>447</v>
      </c>
      <c r="AD6" s="58" t="s">
        <v>448</v>
      </c>
      <c r="AE6" s="58" t="s">
        <v>449</v>
      </c>
      <c r="AF6" s="58" t="s">
        <v>450</v>
      </c>
      <c r="AG6" s="58" t="s">
        <v>451</v>
      </c>
      <c r="AH6" s="58"/>
      <c r="AI6" s="58"/>
      <c r="AJ6" s="58"/>
      <c r="AK6" s="58" t="s">
        <v>452</v>
      </c>
      <c r="AL6" s="58" t="s">
        <v>453</v>
      </c>
      <c r="AM6" s="58" t="s">
        <v>410</v>
      </c>
      <c r="AN6" s="58"/>
      <c r="AO6" s="58" t="s">
        <v>411</v>
      </c>
      <c r="AP6" s="58" t="s">
        <v>454</v>
      </c>
      <c r="AQ6" s="58" t="s">
        <v>455</v>
      </c>
      <c r="AR6" s="58" t="s">
        <v>440</v>
      </c>
      <c r="AS6" s="58" t="s">
        <v>456</v>
      </c>
      <c r="AT6" s="58" t="s">
        <v>457</v>
      </c>
      <c r="AU6" s="58"/>
      <c r="AV6" s="58"/>
    </row>
    <row r="7" spans="1:48" ht="13.8" x14ac:dyDescent="0.25">
      <c r="A7" s="58" t="s">
        <v>438</v>
      </c>
      <c r="B7" s="58" t="s">
        <v>389</v>
      </c>
      <c r="C7" s="58"/>
      <c r="D7" s="58"/>
      <c r="E7" s="59" t="s">
        <v>439</v>
      </c>
      <c r="F7" s="58" t="s">
        <v>440</v>
      </c>
      <c r="G7" s="58" t="s">
        <v>441</v>
      </c>
      <c r="H7" s="58" t="s">
        <v>442</v>
      </c>
      <c r="I7" s="58" t="s">
        <v>443</v>
      </c>
      <c r="J7" s="58" t="s">
        <v>393</v>
      </c>
      <c r="K7" s="58">
        <v>0</v>
      </c>
      <c r="L7" s="58" t="s">
        <v>393</v>
      </c>
      <c r="M7" s="58"/>
      <c r="N7" s="58" t="s">
        <v>393</v>
      </c>
      <c r="O7" s="58" t="s">
        <v>393</v>
      </c>
      <c r="P7" s="58" t="s">
        <v>393</v>
      </c>
      <c r="Q7" s="58" t="s">
        <v>444</v>
      </c>
      <c r="R7" s="58" t="s">
        <v>445</v>
      </c>
      <c r="S7" s="58" t="s">
        <v>396</v>
      </c>
      <c r="T7" s="58"/>
      <c r="U7" s="58" t="s">
        <v>399</v>
      </c>
      <c r="V7" s="60" t="s">
        <v>427</v>
      </c>
      <c r="W7" s="59" t="s">
        <v>458</v>
      </c>
      <c r="X7" s="58" t="s">
        <v>429</v>
      </c>
      <c r="Y7" s="58" t="s">
        <v>430</v>
      </c>
      <c r="Z7" s="58"/>
      <c r="AA7" s="58"/>
      <c r="AB7" s="58">
        <v>1</v>
      </c>
      <c r="AC7" s="58" t="s">
        <v>447</v>
      </c>
      <c r="AD7" s="58" t="s">
        <v>459</v>
      </c>
      <c r="AE7" s="58" t="s">
        <v>449</v>
      </c>
      <c r="AF7" s="58" t="s">
        <v>450</v>
      </c>
      <c r="AG7" s="58" t="s">
        <v>451</v>
      </c>
      <c r="AH7" s="58"/>
      <c r="AI7" s="58"/>
      <c r="AJ7" s="58"/>
      <c r="AK7" s="58" t="s">
        <v>452</v>
      </c>
      <c r="AL7" s="58" t="s">
        <v>453</v>
      </c>
      <c r="AM7" s="58" t="s">
        <v>410</v>
      </c>
      <c r="AN7" s="58"/>
      <c r="AO7" s="58" t="s">
        <v>411</v>
      </c>
      <c r="AP7" s="58" t="s">
        <v>454</v>
      </c>
      <c r="AQ7" s="58" t="s">
        <v>455</v>
      </c>
      <c r="AR7" s="58" t="s">
        <v>440</v>
      </c>
      <c r="AS7" s="58" t="s">
        <v>456</v>
      </c>
      <c r="AT7" s="58" t="s">
        <v>457</v>
      </c>
      <c r="AU7" s="58"/>
      <c r="AV7" s="58"/>
    </row>
    <row r="8" spans="1:48" ht="13.8" x14ac:dyDescent="0.25">
      <c r="A8" s="58" t="s">
        <v>438</v>
      </c>
      <c r="B8" s="58" t="s">
        <v>389</v>
      </c>
      <c r="C8" s="58"/>
      <c r="D8" s="58"/>
      <c r="E8" s="59" t="s">
        <v>439</v>
      </c>
      <c r="F8" s="58" t="s">
        <v>440</v>
      </c>
      <c r="G8" s="58" t="s">
        <v>441</v>
      </c>
      <c r="H8" s="58" t="s">
        <v>442</v>
      </c>
      <c r="I8" s="58" t="s">
        <v>443</v>
      </c>
      <c r="J8" s="58" t="s">
        <v>393</v>
      </c>
      <c r="K8" s="58">
        <v>0</v>
      </c>
      <c r="L8" s="58" t="s">
        <v>393</v>
      </c>
      <c r="M8" s="58"/>
      <c r="N8" s="58" t="s">
        <v>393</v>
      </c>
      <c r="O8" s="58" t="s">
        <v>393</v>
      </c>
      <c r="P8" s="58" t="s">
        <v>393</v>
      </c>
      <c r="Q8" s="58" t="s">
        <v>444</v>
      </c>
      <c r="R8" s="58" t="s">
        <v>445</v>
      </c>
      <c r="S8" s="58" t="s">
        <v>396</v>
      </c>
      <c r="T8" s="58"/>
      <c r="U8" s="58" t="s">
        <v>399</v>
      </c>
      <c r="V8" s="60" t="s">
        <v>427</v>
      </c>
      <c r="W8" s="59" t="s">
        <v>57</v>
      </c>
      <c r="X8" s="58" t="s">
        <v>429</v>
      </c>
      <c r="Y8" s="58" t="s">
        <v>430</v>
      </c>
      <c r="Z8" s="58"/>
      <c r="AA8" s="58"/>
      <c r="AB8" s="58">
        <v>1</v>
      </c>
      <c r="AC8" s="58" t="s">
        <v>447</v>
      </c>
      <c r="AD8" s="58" t="s">
        <v>459</v>
      </c>
      <c r="AE8" s="58" t="s">
        <v>449</v>
      </c>
      <c r="AF8" s="58" t="s">
        <v>450</v>
      </c>
      <c r="AG8" s="58" t="s">
        <v>451</v>
      </c>
      <c r="AH8" s="58"/>
      <c r="AI8" s="58"/>
      <c r="AJ8" s="58"/>
      <c r="AK8" s="58" t="s">
        <v>452</v>
      </c>
      <c r="AL8" s="58" t="s">
        <v>453</v>
      </c>
      <c r="AM8" s="58" t="s">
        <v>410</v>
      </c>
      <c r="AN8" s="58"/>
      <c r="AO8" s="58" t="s">
        <v>411</v>
      </c>
      <c r="AP8" s="58" t="s">
        <v>454</v>
      </c>
      <c r="AQ8" s="58" t="s">
        <v>455</v>
      </c>
      <c r="AR8" s="58" t="s">
        <v>440</v>
      </c>
      <c r="AS8" s="58" t="s">
        <v>456</v>
      </c>
      <c r="AT8" s="58" t="s">
        <v>457</v>
      </c>
      <c r="AU8" s="58"/>
      <c r="AV8" s="58"/>
    </row>
    <row r="9" spans="1:48" ht="13.8" x14ac:dyDescent="0.25">
      <c r="A9" s="61" t="s">
        <v>460</v>
      </c>
      <c r="B9" s="61" t="s">
        <v>389</v>
      </c>
      <c r="C9" s="61"/>
      <c r="D9" s="61"/>
      <c r="E9" s="62" t="s">
        <v>461</v>
      </c>
      <c r="F9" s="61" t="s">
        <v>462</v>
      </c>
      <c r="G9" s="61" t="s">
        <v>463</v>
      </c>
      <c r="H9" s="61" t="s">
        <v>393</v>
      </c>
      <c r="I9" s="61" t="s">
        <v>464</v>
      </c>
      <c r="J9" s="61" t="s">
        <v>393</v>
      </c>
      <c r="K9" s="61">
        <v>0</v>
      </c>
      <c r="L9" s="61" t="s">
        <v>393</v>
      </c>
      <c r="M9" s="61" t="s">
        <v>465</v>
      </c>
      <c r="N9" s="61" t="s">
        <v>466</v>
      </c>
      <c r="O9" s="61" t="s">
        <v>393</v>
      </c>
      <c r="P9" s="61" t="s">
        <v>393</v>
      </c>
      <c r="Q9" s="61" t="s">
        <v>467</v>
      </c>
      <c r="R9" s="61" t="s">
        <v>468</v>
      </c>
      <c r="S9" s="61" t="s">
        <v>396</v>
      </c>
      <c r="T9" s="61"/>
      <c r="U9" s="61" t="s">
        <v>399</v>
      </c>
      <c r="V9" s="61" t="s">
        <v>469</v>
      </c>
      <c r="W9" s="63" t="s">
        <v>54</v>
      </c>
      <c r="X9" s="61" t="s">
        <v>444</v>
      </c>
      <c r="Y9" s="61"/>
      <c r="Z9" s="61"/>
      <c r="AA9" s="61"/>
      <c r="AB9" s="61">
        <v>10</v>
      </c>
      <c r="AC9" s="61" t="s">
        <v>447</v>
      </c>
      <c r="AD9" s="61" t="s">
        <v>470</v>
      </c>
      <c r="AE9" s="61" t="s">
        <v>471</v>
      </c>
      <c r="AF9" s="61" t="s">
        <v>472</v>
      </c>
      <c r="AG9" s="61" t="s">
        <v>473</v>
      </c>
      <c r="AH9" s="61"/>
      <c r="AI9" s="61" t="s">
        <v>474</v>
      </c>
      <c r="AJ9" s="61"/>
      <c r="AK9" s="61" t="s">
        <v>475</v>
      </c>
      <c r="AL9" s="61" t="s">
        <v>409</v>
      </c>
      <c r="AM9" s="61" t="s">
        <v>410</v>
      </c>
      <c r="AN9" s="61"/>
      <c r="AO9" s="61" t="s">
        <v>411</v>
      </c>
      <c r="AP9" s="61" t="s">
        <v>476</v>
      </c>
      <c r="AQ9" s="61" t="s">
        <v>477</v>
      </c>
      <c r="AR9" s="61" t="s">
        <v>462</v>
      </c>
      <c r="AS9" s="61" t="s">
        <v>414</v>
      </c>
      <c r="AT9" s="61" t="s">
        <v>478</v>
      </c>
      <c r="AU9" s="61"/>
      <c r="AV9" s="61"/>
    </row>
    <row r="10" spans="1:48" ht="13.8" x14ac:dyDescent="0.25">
      <c r="A10" s="61" t="s">
        <v>460</v>
      </c>
      <c r="B10" s="61" t="s">
        <v>389</v>
      </c>
      <c r="C10" s="61"/>
      <c r="D10" s="61"/>
      <c r="E10" s="62" t="s">
        <v>461</v>
      </c>
      <c r="F10" s="61" t="s">
        <v>462</v>
      </c>
      <c r="G10" s="61" t="s">
        <v>463</v>
      </c>
      <c r="H10" s="61" t="s">
        <v>393</v>
      </c>
      <c r="I10" s="61" t="s">
        <v>464</v>
      </c>
      <c r="J10" s="61" t="s">
        <v>393</v>
      </c>
      <c r="K10" s="61">
        <v>0</v>
      </c>
      <c r="L10" s="61" t="s">
        <v>393</v>
      </c>
      <c r="M10" s="61" t="s">
        <v>465</v>
      </c>
      <c r="N10" s="61" t="s">
        <v>466</v>
      </c>
      <c r="O10" s="61" t="s">
        <v>393</v>
      </c>
      <c r="P10" s="61" t="s">
        <v>393</v>
      </c>
      <c r="Q10" s="61" t="s">
        <v>467</v>
      </c>
      <c r="R10" s="61" t="s">
        <v>468</v>
      </c>
      <c r="S10" s="61" t="s">
        <v>396</v>
      </c>
      <c r="T10" s="61"/>
      <c r="U10" s="61" t="s">
        <v>399</v>
      </c>
      <c r="V10" s="63" t="s">
        <v>469</v>
      </c>
      <c r="W10" s="63" t="s">
        <v>55</v>
      </c>
      <c r="X10" s="61" t="s">
        <v>444</v>
      </c>
      <c r="Y10" s="61"/>
      <c r="Z10" s="61"/>
      <c r="AA10" s="61"/>
      <c r="AB10" s="61">
        <v>10</v>
      </c>
      <c r="AC10" s="61" t="s">
        <v>447</v>
      </c>
      <c r="AD10" s="61" t="s">
        <v>479</v>
      </c>
      <c r="AE10" s="61" t="s">
        <v>471</v>
      </c>
      <c r="AF10" s="61" t="s">
        <v>472</v>
      </c>
      <c r="AG10" s="61" t="s">
        <v>473</v>
      </c>
      <c r="AH10" s="61"/>
      <c r="AI10" s="61" t="s">
        <v>474</v>
      </c>
      <c r="AJ10" s="61"/>
      <c r="AK10" s="61" t="s">
        <v>475</v>
      </c>
      <c r="AL10" s="61" t="s">
        <v>409</v>
      </c>
      <c r="AM10" s="61" t="s">
        <v>410</v>
      </c>
      <c r="AN10" s="61"/>
      <c r="AO10" s="61" t="s">
        <v>411</v>
      </c>
      <c r="AP10" s="61" t="s">
        <v>476</v>
      </c>
      <c r="AQ10" s="61" t="s">
        <v>477</v>
      </c>
      <c r="AR10" s="61" t="s">
        <v>462</v>
      </c>
      <c r="AS10" s="61" t="s">
        <v>414</v>
      </c>
      <c r="AT10" s="61" t="s">
        <v>478</v>
      </c>
      <c r="AU10" s="61"/>
      <c r="AV10" s="61"/>
    </row>
    <row r="11" spans="1:48" ht="13.8" x14ac:dyDescent="0.25">
      <c r="A11" s="61" t="s">
        <v>460</v>
      </c>
      <c r="B11" s="61" t="s">
        <v>389</v>
      </c>
      <c r="C11" s="61"/>
      <c r="D11" s="61"/>
      <c r="E11" s="62" t="s">
        <v>461</v>
      </c>
      <c r="F11" s="61" t="s">
        <v>462</v>
      </c>
      <c r="G11" s="61" t="s">
        <v>463</v>
      </c>
      <c r="H11" s="61" t="s">
        <v>393</v>
      </c>
      <c r="I11" s="61" t="s">
        <v>464</v>
      </c>
      <c r="J11" s="61" t="s">
        <v>393</v>
      </c>
      <c r="K11" s="61">
        <v>0</v>
      </c>
      <c r="L11" s="61" t="s">
        <v>393</v>
      </c>
      <c r="M11" s="61" t="s">
        <v>465</v>
      </c>
      <c r="N11" s="61" t="s">
        <v>466</v>
      </c>
      <c r="O11" s="61" t="s">
        <v>393</v>
      </c>
      <c r="P11" s="61" t="s">
        <v>393</v>
      </c>
      <c r="Q11" s="61" t="s">
        <v>467</v>
      </c>
      <c r="R11" s="61" t="s">
        <v>468</v>
      </c>
      <c r="S11" s="61" t="s">
        <v>396</v>
      </c>
      <c r="T11" s="61"/>
      <c r="U11" s="61" t="s">
        <v>399</v>
      </c>
      <c r="V11" s="63" t="s">
        <v>480</v>
      </c>
      <c r="W11" s="63" t="s">
        <v>481</v>
      </c>
      <c r="X11" s="61" t="s">
        <v>482</v>
      </c>
      <c r="Y11" s="61"/>
      <c r="Z11" s="61"/>
      <c r="AA11" s="61"/>
      <c r="AB11" s="61">
        <v>2</v>
      </c>
      <c r="AC11" s="61" t="s">
        <v>447</v>
      </c>
      <c r="AD11" s="61" t="s">
        <v>479</v>
      </c>
      <c r="AE11" s="61" t="s">
        <v>471</v>
      </c>
      <c r="AF11" s="61" t="s">
        <v>472</v>
      </c>
      <c r="AG11" s="61" t="s">
        <v>473</v>
      </c>
      <c r="AH11" s="61"/>
      <c r="AI11" s="61" t="s">
        <v>474</v>
      </c>
      <c r="AJ11" s="61"/>
      <c r="AK11" s="61" t="s">
        <v>475</v>
      </c>
      <c r="AL11" s="61" t="s">
        <v>409</v>
      </c>
      <c r="AM11" s="61" t="s">
        <v>410</v>
      </c>
      <c r="AN11" s="61"/>
      <c r="AO11" s="61" t="s">
        <v>411</v>
      </c>
      <c r="AP11" s="61" t="s">
        <v>476</v>
      </c>
      <c r="AQ11" s="61" t="s">
        <v>477</v>
      </c>
      <c r="AR11" s="61" t="s">
        <v>462</v>
      </c>
      <c r="AS11" s="61" t="s">
        <v>414</v>
      </c>
      <c r="AT11" s="61" t="s">
        <v>478</v>
      </c>
      <c r="AU11" s="61"/>
      <c r="AV11" s="61"/>
    </row>
    <row r="12" spans="1:48" ht="13.8" x14ac:dyDescent="0.25">
      <c r="A12" s="61" t="s">
        <v>460</v>
      </c>
      <c r="B12" s="61" t="s">
        <v>389</v>
      </c>
      <c r="C12" s="61"/>
      <c r="D12" s="61"/>
      <c r="E12" s="62" t="s">
        <v>461</v>
      </c>
      <c r="F12" s="61" t="s">
        <v>462</v>
      </c>
      <c r="G12" s="61" t="s">
        <v>463</v>
      </c>
      <c r="H12" s="61" t="s">
        <v>393</v>
      </c>
      <c r="I12" s="61" t="s">
        <v>464</v>
      </c>
      <c r="J12" s="61" t="s">
        <v>393</v>
      </c>
      <c r="K12" s="61">
        <v>0</v>
      </c>
      <c r="L12" s="61" t="s">
        <v>393</v>
      </c>
      <c r="M12" s="61" t="s">
        <v>465</v>
      </c>
      <c r="N12" s="61" t="s">
        <v>466</v>
      </c>
      <c r="O12" s="61" t="s">
        <v>393</v>
      </c>
      <c r="P12" s="61" t="s">
        <v>393</v>
      </c>
      <c r="Q12" s="61" t="s">
        <v>467</v>
      </c>
      <c r="R12" s="61" t="s">
        <v>468</v>
      </c>
      <c r="S12" s="61" t="s">
        <v>396</v>
      </c>
      <c r="T12" s="61"/>
      <c r="U12" s="61" t="s">
        <v>399</v>
      </c>
      <c r="V12" s="63" t="s">
        <v>480</v>
      </c>
      <c r="W12" s="62" t="s">
        <v>58</v>
      </c>
      <c r="X12" s="61" t="s">
        <v>482</v>
      </c>
      <c r="Y12" s="61"/>
      <c r="Z12" s="61"/>
      <c r="AA12" s="61"/>
      <c r="AB12" s="61">
        <v>2</v>
      </c>
      <c r="AC12" s="61" t="s">
        <v>447</v>
      </c>
      <c r="AD12" s="61" t="s">
        <v>479</v>
      </c>
      <c r="AE12" s="61" t="s">
        <v>471</v>
      </c>
      <c r="AF12" s="61" t="s">
        <v>472</v>
      </c>
      <c r="AG12" s="61" t="s">
        <v>473</v>
      </c>
      <c r="AH12" s="61"/>
      <c r="AI12" s="61" t="s">
        <v>474</v>
      </c>
      <c r="AJ12" s="61"/>
      <c r="AK12" s="61" t="s">
        <v>475</v>
      </c>
      <c r="AL12" s="61" t="s">
        <v>409</v>
      </c>
      <c r="AM12" s="61" t="s">
        <v>410</v>
      </c>
      <c r="AN12" s="61"/>
      <c r="AO12" s="61" t="s">
        <v>411</v>
      </c>
      <c r="AP12" s="61" t="s">
        <v>476</v>
      </c>
      <c r="AQ12" s="61" t="s">
        <v>477</v>
      </c>
      <c r="AR12" s="61" t="s">
        <v>462</v>
      </c>
      <c r="AS12" s="61" t="s">
        <v>414</v>
      </c>
      <c r="AT12" s="61" t="s">
        <v>478</v>
      </c>
      <c r="AU12" s="61"/>
      <c r="AV12" s="61"/>
    </row>
    <row r="13" spans="1:48" ht="13.8" x14ac:dyDescent="0.25">
      <c r="A13" s="61" t="s">
        <v>460</v>
      </c>
      <c r="B13" s="61" t="s">
        <v>389</v>
      </c>
      <c r="C13" s="61"/>
      <c r="D13" s="61"/>
      <c r="E13" s="62" t="s">
        <v>461</v>
      </c>
      <c r="F13" s="61" t="s">
        <v>462</v>
      </c>
      <c r="G13" s="61" t="s">
        <v>463</v>
      </c>
      <c r="H13" s="61" t="s">
        <v>393</v>
      </c>
      <c r="I13" s="61" t="s">
        <v>464</v>
      </c>
      <c r="J13" s="61" t="s">
        <v>393</v>
      </c>
      <c r="K13" s="61">
        <v>0</v>
      </c>
      <c r="L13" s="61" t="s">
        <v>393</v>
      </c>
      <c r="M13" s="61" t="s">
        <v>465</v>
      </c>
      <c r="N13" s="61" t="s">
        <v>466</v>
      </c>
      <c r="O13" s="61" t="s">
        <v>393</v>
      </c>
      <c r="P13" s="61" t="s">
        <v>393</v>
      </c>
      <c r="Q13" s="61" t="s">
        <v>467</v>
      </c>
      <c r="R13" s="61" t="s">
        <v>468</v>
      </c>
      <c r="S13" s="61" t="s">
        <v>396</v>
      </c>
      <c r="T13" s="61"/>
      <c r="U13" s="61" t="s">
        <v>399</v>
      </c>
      <c r="V13" s="63" t="s">
        <v>480</v>
      </c>
      <c r="W13" s="63" t="s">
        <v>59</v>
      </c>
      <c r="X13" s="61" t="s">
        <v>482</v>
      </c>
      <c r="Y13" s="61"/>
      <c r="Z13" s="61"/>
      <c r="AA13" s="61"/>
      <c r="AB13" s="61">
        <v>2</v>
      </c>
      <c r="AC13" s="61" t="s">
        <v>447</v>
      </c>
      <c r="AD13" s="61" t="s">
        <v>479</v>
      </c>
      <c r="AE13" s="61" t="s">
        <v>471</v>
      </c>
      <c r="AF13" s="61" t="s">
        <v>472</v>
      </c>
      <c r="AG13" s="61" t="s">
        <v>473</v>
      </c>
      <c r="AH13" s="61"/>
      <c r="AI13" s="61" t="s">
        <v>474</v>
      </c>
      <c r="AJ13" s="61"/>
      <c r="AK13" s="61" t="s">
        <v>475</v>
      </c>
      <c r="AL13" s="61" t="s">
        <v>409</v>
      </c>
      <c r="AM13" s="61" t="s">
        <v>410</v>
      </c>
      <c r="AN13" s="61"/>
      <c r="AO13" s="61" t="s">
        <v>411</v>
      </c>
      <c r="AP13" s="61" t="s">
        <v>476</v>
      </c>
      <c r="AQ13" s="61" t="s">
        <v>477</v>
      </c>
      <c r="AR13" s="61" t="s">
        <v>462</v>
      </c>
      <c r="AS13" s="61" t="s">
        <v>414</v>
      </c>
      <c r="AT13" s="61" t="s">
        <v>478</v>
      </c>
      <c r="AU13" s="61"/>
      <c r="AV13" s="61"/>
    </row>
    <row r="14" spans="1:48" ht="13.8" x14ac:dyDescent="0.25">
      <c r="A14" s="52" t="s">
        <v>483</v>
      </c>
      <c r="B14" s="52" t="s">
        <v>389</v>
      </c>
      <c r="C14" s="52"/>
      <c r="D14" s="52"/>
      <c r="E14" s="53" t="s">
        <v>484</v>
      </c>
      <c r="F14" s="52" t="s">
        <v>485</v>
      </c>
      <c r="G14" s="52" t="s">
        <v>486</v>
      </c>
      <c r="H14" s="52" t="s">
        <v>393</v>
      </c>
      <c r="I14" s="52" t="s">
        <v>487</v>
      </c>
      <c r="J14" s="52" t="s">
        <v>393</v>
      </c>
      <c r="K14" s="52">
        <v>0</v>
      </c>
      <c r="L14" s="52" t="s">
        <v>393</v>
      </c>
      <c r="M14" s="52" t="s">
        <v>488</v>
      </c>
      <c r="N14" s="52" t="s">
        <v>466</v>
      </c>
      <c r="O14" s="52" t="s">
        <v>393</v>
      </c>
      <c r="P14" s="52" t="s">
        <v>393</v>
      </c>
      <c r="Q14" s="52" t="s">
        <v>489</v>
      </c>
      <c r="R14" s="52" t="s">
        <v>490</v>
      </c>
      <c r="S14" s="52" t="s">
        <v>396</v>
      </c>
      <c r="T14" s="52"/>
      <c r="U14" s="52" t="s">
        <v>399</v>
      </c>
      <c r="V14" s="54" t="s">
        <v>491</v>
      </c>
      <c r="W14" s="54" t="s">
        <v>492</v>
      </c>
      <c r="X14" s="52" t="s">
        <v>493</v>
      </c>
      <c r="Y14" s="52" t="s">
        <v>494</v>
      </c>
      <c r="Z14" s="52"/>
      <c r="AA14" s="52"/>
      <c r="AB14" s="52">
        <v>1</v>
      </c>
      <c r="AC14" s="52" t="s">
        <v>403</v>
      </c>
      <c r="AD14" s="52"/>
      <c r="AE14" s="52" t="s">
        <v>495</v>
      </c>
      <c r="AF14" s="52" t="s">
        <v>496</v>
      </c>
      <c r="AG14" s="52" t="s">
        <v>497</v>
      </c>
      <c r="AH14" s="52"/>
      <c r="AI14" s="52"/>
      <c r="AJ14" s="52"/>
      <c r="AK14" s="52" t="s">
        <v>498</v>
      </c>
      <c r="AL14" s="52" t="s">
        <v>499</v>
      </c>
      <c r="AM14" s="52" t="s">
        <v>410</v>
      </c>
      <c r="AN14" s="52"/>
      <c r="AO14" s="52" t="s">
        <v>411</v>
      </c>
      <c r="AP14" s="52" t="s">
        <v>500</v>
      </c>
      <c r="AQ14" s="52" t="s">
        <v>501</v>
      </c>
      <c r="AR14" s="52" t="s">
        <v>485</v>
      </c>
      <c r="AS14" s="52" t="s">
        <v>502</v>
      </c>
      <c r="AT14" s="52" t="s">
        <v>503</v>
      </c>
      <c r="AU14" s="52"/>
      <c r="AV14" s="52"/>
    </row>
    <row r="15" spans="1:48" ht="13.8" x14ac:dyDescent="0.25">
      <c r="A15" s="52" t="s">
        <v>483</v>
      </c>
      <c r="B15" s="52" t="s">
        <v>389</v>
      </c>
      <c r="C15" s="52"/>
      <c r="D15" s="52"/>
      <c r="E15" s="53" t="s">
        <v>484</v>
      </c>
      <c r="F15" s="52" t="s">
        <v>485</v>
      </c>
      <c r="G15" s="52" t="s">
        <v>486</v>
      </c>
      <c r="H15" s="52" t="s">
        <v>393</v>
      </c>
      <c r="I15" s="52" t="s">
        <v>487</v>
      </c>
      <c r="J15" s="52" t="s">
        <v>393</v>
      </c>
      <c r="K15" s="52">
        <v>0</v>
      </c>
      <c r="L15" s="52" t="s">
        <v>393</v>
      </c>
      <c r="M15" s="52" t="s">
        <v>488</v>
      </c>
      <c r="N15" s="52" t="s">
        <v>466</v>
      </c>
      <c r="O15" s="52" t="s">
        <v>393</v>
      </c>
      <c r="P15" s="52" t="s">
        <v>393</v>
      </c>
      <c r="Q15" s="52" t="s">
        <v>489</v>
      </c>
      <c r="R15" s="52" t="s">
        <v>490</v>
      </c>
      <c r="S15" s="52" t="s">
        <v>396</v>
      </c>
      <c r="T15" s="52"/>
      <c r="U15" s="52" t="s">
        <v>399</v>
      </c>
      <c r="V15" s="54" t="s">
        <v>491</v>
      </c>
      <c r="W15" s="53" t="s">
        <v>504</v>
      </c>
      <c r="X15" s="52" t="s">
        <v>493</v>
      </c>
      <c r="Y15" s="52" t="s">
        <v>494</v>
      </c>
      <c r="Z15" s="52"/>
      <c r="AA15" s="52"/>
      <c r="AB15" s="52">
        <v>1</v>
      </c>
      <c r="AC15" s="52" t="s">
        <v>403</v>
      </c>
      <c r="AD15" s="52"/>
      <c r="AE15" s="52" t="s">
        <v>495</v>
      </c>
      <c r="AF15" s="52" t="s">
        <v>496</v>
      </c>
      <c r="AG15" s="52" t="s">
        <v>497</v>
      </c>
      <c r="AH15" s="52"/>
      <c r="AI15" s="52"/>
      <c r="AJ15" s="52"/>
      <c r="AK15" s="52" t="s">
        <v>498</v>
      </c>
      <c r="AL15" s="52" t="s">
        <v>499</v>
      </c>
      <c r="AM15" s="52" t="s">
        <v>410</v>
      </c>
      <c r="AN15" s="52"/>
      <c r="AO15" s="52" t="s">
        <v>411</v>
      </c>
      <c r="AP15" s="52" t="s">
        <v>500</v>
      </c>
      <c r="AQ15" s="52" t="s">
        <v>501</v>
      </c>
      <c r="AR15" s="52" t="s">
        <v>485</v>
      </c>
      <c r="AS15" s="52" t="s">
        <v>502</v>
      </c>
      <c r="AT15" s="52" t="s">
        <v>503</v>
      </c>
      <c r="AU15" s="52"/>
      <c r="AV15" s="52"/>
    </row>
    <row r="16" spans="1:48" ht="13.8" x14ac:dyDescent="0.25">
      <c r="A16" s="52" t="s">
        <v>483</v>
      </c>
      <c r="B16" s="52" t="s">
        <v>389</v>
      </c>
      <c r="C16" s="52"/>
      <c r="D16" s="52"/>
      <c r="E16" s="53" t="s">
        <v>484</v>
      </c>
      <c r="F16" s="52" t="s">
        <v>485</v>
      </c>
      <c r="G16" s="52" t="s">
        <v>486</v>
      </c>
      <c r="H16" s="52" t="s">
        <v>393</v>
      </c>
      <c r="I16" s="52" t="s">
        <v>487</v>
      </c>
      <c r="J16" s="52" t="s">
        <v>393</v>
      </c>
      <c r="K16" s="52">
        <v>0</v>
      </c>
      <c r="L16" s="52" t="s">
        <v>393</v>
      </c>
      <c r="M16" s="52" t="s">
        <v>488</v>
      </c>
      <c r="N16" s="52" t="s">
        <v>466</v>
      </c>
      <c r="O16" s="52" t="s">
        <v>393</v>
      </c>
      <c r="P16" s="52" t="s">
        <v>393</v>
      </c>
      <c r="Q16" s="52" t="s">
        <v>489</v>
      </c>
      <c r="R16" s="52" t="s">
        <v>490</v>
      </c>
      <c r="S16" s="52" t="s">
        <v>396</v>
      </c>
      <c r="T16" s="52"/>
      <c r="U16" s="52" t="s">
        <v>399</v>
      </c>
      <c r="V16" s="54" t="s">
        <v>491</v>
      </c>
      <c r="W16" s="54" t="s">
        <v>505</v>
      </c>
      <c r="X16" s="52" t="s">
        <v>493</v>
      </c>
      <c r="Y16" s="52" t="s">
        <v>494</v>
      </c>
      <c r="Z16" s="52"/>
      <c r="AA16" s="52"/>
      <c r="AB16" s="52">
        <v>1</v>
      </c>
      <c r="AC16" s="52" t="s">
        <v>403</v>
      </c>
      <c r="AD16" s="52"/>
      <c r="AE16" s="52" t="s">
        <v>495</v>
      </c>
      <c r="AF16" s="52" t="s">
        <v>496</v>
      </c>
      <c r="AG16" s="52" t="s">
        <v>497</v>
      </c>
      <c r="AH16" s="52"/>
      <c r="AI16" s="52"/>
      <c r="AJ16" s="52"/>
      <c r="AK16" s="52" t="s">
        <v>498</v>
      </c>
      <c r="AL16" s="52" t="s">
        <v>499</v>
      </c>
      <c r="AM16" s="52" t="s">
        <v>410</v>
      </c>
      <c r="AN16" s="52"/>
      <c r="AO16" s="52" t="s">
        <v>411</v>
      </c>
      <c r="AP16" s="52" t="s">
        <v>500</v>
      </c>
      <c r="AQ16" s="52" t="s">
        <v>501</v>
      </c>
      <c r="AR16" s="52" t="s">
        <v>485</v>
      </c>
      <c r="AS16" s="52" t="s">
        <v>502</v>
      </c>
      <c r="AT16" s="52" t="s">
        <v>503</v>
      </c>
      <c r="AU16" s="52"/>
      <c r="AV16" s="52"/>
    </row>
    <row r="17" spans="1:48" ht="13.8" x14ac:dyDescent="0.25">
      <c r="A17" s="52" t="s">
        <v>483</v>
      </c>
      <c r="B17" s="52" t="s">
        <v>389</v>
      </c>
      <c r="C17" s="52"/>
      <c r="D17" s="52"/>
      <c r="E17" s="53" t="s">
        <v>484</v>
      </c>
      <c r="F17" s="52" t="s">
        <v>485</v>
      </c>
      <c r="G17" s="52" t="s">
        <v>486</v>
      </c>
      <c r="H17" s="52" t="s">
        <v>393</v>
      </c>
      <c r="I17" s="52" t="s">
        <v>487</v>
      </c>
      <c r="J17" s="52" t="s">
        <v>393</v>
      </c>
      <c r="K17" s="52">
        <v>0</v>
      </c>
      <c r="L17" s="52" t="s">
        <v>393</v>
      </c>
      <c r="M17" s="52" t="s">
        <v>488</v>
      </c>
      <c r="N17" s="52" t="s">
        <v>466</v>
      </c>
      <c r="O17" s="52" t="s">
        <v>393</v>
      </c>
      <c r="P17" s="52" t="s">
        <v>393</v>
      </c>
      <c r="Q17" s="52" t="s">
        <v>489</v>
      </c>
      <c r="R17" s="52" t="s">
        <v>490</v>
      </c>
      <c r="S17" s="52" t="s">
        <v>396</v>
      </c>
      <c r="T17" s="52"/>
      <c r="U17" s="52" t="s">
        <v>399</v>
      </c>
      <c r="V17" s="54" t="s">
        <v>491</v>
      </c>
      <c r="W17" s="53" t="s">
        <v>506</v>
      </c>
      <c r="X17" s="52" t="s">
        <v>493</v>
      </c>
      <c r="Y17" s="52" t="s">
        <v>494</v>
      </c>
      <c r="Z17" s="52"/>
      <c r="AA17" s="52"/>
      <c r="AB17" s="52">
        <v>1</v>
      </c>
      <c r="AC17" s="52" t="s">
        <v>403</v>
      </c>
      <c r="AD17" s="52"/>
      <c r="AE17" s="52" t="s">
        <v>495</v>
      </c>
      <c r="AF17" s="52" t="s">
        <v>496</v>
      </c>
      <c r="AG17" s="52" t="s">
        <v>497</v>
      </c>
      <c r="AH17" s="52"/>
      <c r="AI17" s="52"/>
      <c r="AJ17" s="52"/>
      <c r="AK17" s="52" t="s">
        <v>498</v>
      </c>
      <c r="AL17" s="52" t="s">
        <v>499</v>
      </c>
      <c r="AM17" s="52" t="s">
        <v>410</v>
      </c>
      <c r="AN17" s="52"/>
      <c r="AO17" s="52" t="s">
        <v>411</v>
      </c>
      <c r="AP17" s="52" t="s">
        <v>500</v>
      </c>
      <c r="AQ17" s="52" t="s">
        <v>501</v>
      </c>
      <c r="AR17" s="52" t="s">
        <v>485</v>
      </c>
      <c r="AS17" s="52" t="s">
        <v>502</v>
      </c>
      <c r="AT17" s="52" t="s">
        <v>503</v>
      </c>
      <c r="AU17" s="52"/>
      <c r="AV17" s="52"/>
    </row>
    <row r="18" spans="1:48" ht="13.8" x14ac:dyDescent="0.25">
      <c r="A18" s="52" t="s">
        <v>483</v>
      </c>
      <c r="B18" s="52" t="s">
        <v>389</v>
      </c>
      <c r="C18" s="52"/>
      <c r="D18" s="52"/>
      <c r="E18" s="53" t="s">
        <v>484</v>
      </c>
      <c r="F18" s="52" t="s">
        <v>485</v>
      </c>
      <c r="G18" s="52" t="s">
        <v>486</v>
      </c>
      <c r="H18" s="52" t="s">
        <v>393</v>
      </c>
      <c r="I18" s="52" t="s">
        <v>487</v>
      </c>
      <c r="J18" s="52" t="s">
        <v>393</v>
      </c>
      <c r="K18" s="52">
        <v>0</v>
      </c>
      <c r="L18" s="52" t="s">
        <v>393</v>
      </c>
      <c r="M18" s="52" t="s">
        <v>488</v>
      </c>
      <c r="N18" s="52" t="s">
        <v>466</v>
      </c>
      <c r="O18" s="52" t="s">
        <v>393</v>
      </c>
      <c r="P18" s="52" t="s">
        <v>393</v>
      </c>
      <c r="Q18" s="52" t="s">
        <v>489</v>
      </c>
      <c r="R18" s="52" t="s">
        <v>490</v>
      </c>
      <c r="S18" s="52" t="s">
        <v>396</v>
      </c>
      <c r="T18" s="52"/>
      <c r="U18" s="52" t="s">
        <v>399</v>
      </c>
      <c r="V18" s="54" t="s">
        <v>491</v>
      </c>
      <c r="W18" s="54" t="s">
        <v>507</v>
      </c>
      <c r="X18" s="52" t="s">
        <v>493</v>
      </c>
      <c r="Y18" s="52" t="s">
        <v>494</v>
      </c>
      <c r="Z18" s="52"/>
      <c r="AA18" s="52"/>
      <c r="AB18" s="52">
        <v>1</v>
      </c>
      <c r="AC18" s="52" t="s">
        <v>403</v>
      </c>
      <c r="AD18" s="52"/>
      <c r="AE18" s="52" t="s">
        <v>495</v>
      </c>
      <c r="AF18" s="52" t="s">
        <v>496</v>
      </c>
      <c r="AG18" s="52" t="s">
        <v>497</v>
      </c>
      <c r="AH18" s="52"/>
      <c r="AI18" s="52"/>
      <c r="AJ18" s="52"/>
      <c r="AK18" s="52" t="s">
        <v>498</v>
      </c>
      <c r="AL18" s="52" t="s">
        <v>499</v>
      </c>
      <c r="AM18" s="52" t="s">
        <v>410</v>
      </c>
      <c r="AN18" s="52"/>
      <c r="AO18" s="52" t="s">
        <v>411</v>
      </c>
      <c r="AP18" s="52" t="s">
        <v>500</v>
      </c>
      <c r="AQ18" s="52" t="s">
        <v>501</v>
      </c>
      <c r="AR18" s="52" t="s">
        <v>485</v>
      </c>
      <c r="AS18" s="52" t="s">
        <v>502</v>
      </c>
      <c r="AT18" s="52" t="s">
        <v>503</v>
      </c>
      <c r="AU18" s="52"/>
      <c r="AV18" s="52"/>
    </row>
    <row r="19" spans="1:48" ht="13.8" x14ac:dyDescent="0.25">
      <c r="A19" s="52" t="s">
        <v>483</v>
      </c>
      <c r="B19" s="52" t="s">
        <v>389</v>
      </c>
      <c r="C19" s="52"/>
      <c r="D19" s="52"/>
      <c r="E19" s="53" t="s">
        <v>484</v>
      </c>
      <c r="F19" s="52" t="s">
        <v>485</v>
      </c>
      <c r="G19" s="52" t="s">
        <v>486</v>
      </c>
      <c r="H19" s="52" t="s">
        <v>393</v>
      </c>
      <c r="I19" s="52" t="s">
        <v>487</v>
      </c>
      <c r="J19" s="52" t="s">
        <v>393</v>
      </c>
      <c r="K19" s="52">
        <v>0</v>
      </c>
      <c r="L19" s="52" t="s">
        <v>393</v>
      </c>
      <c r="M19" s="52" t="s">
        <v>488</v>
      </c>
      <c r="N19" s="52" t="s">
        <v>466</v>
      </c>
      <c r="O19" s="52" t="s">
        <v>393</v>
      </c>
      <c r="P19" s="52" t="s">
        <v>393</v>
      </c>
      <c r="Q19" s="52" t="s">
        <v>489</v>
      </c>
      <c r="R19" s="52" t="s">
        <v>490</v>
      </c>
      <c r="S19" s="52" t="s">
        <v>396</v>
      </c>
      <c r="T19" s="52"/>
      <c r="U19" s="52" t="s">
        <v>399</v>
      </c>
      <c r="V19" s="54" t="s">
        <v>491</v>
      </c>
      <c r="W19" s="54" t="s">
        <v>508</v>
      </c>
      <c r="X19" s="52" t="s">
        <v>493</v>
      </c>
      <c r="Y19" s="52" t="s">
        <v>494</v>
      </c>
      <c r="Z19" s="52"/>
      <c r="AA19" s="52"/>
      <c r="AB19" s="52">
        <v>1</v>
      </c>
      <c r="AC19" s="52" t="s">
        <v>403</v>
      </c>
      <c r="AD19" s="52"/>
      <c r="AE19" s="52" t="s">
        <v>495</v>
      </c>
      <c r="AF19" s="52" t="s">
        <v>496</v>
      </c>
      <c r="AG19" s="52" t="s">
        <v>497</v>
      </c>
      <c r="AH19" s="52"/>
      <c r="AI19" s="52"/>
      <c r="AJ19" s="52"/>
      <c r="AK19" s="52" t="s">
        <v>498</v>
      </c>
      <c r="AL19" s="52" t="s">
        <v>499</v>
      </c>
      <c r="AM19" s="52" t="s">
        <v>410</v>
      </c>
      <c r="AN19" s="52"/>
      <c r="AO19" s="52" t="s">
        <v>411</v>
      </c>
      <c r="AP19" s="52" t="s">
        <v>500</v>
      </c>
      <c r="AQ19" s="52" t="s">
        <v>501</v>
      </c>
      <c r="AR19" s="52" t="s">
        <v>485</v>
      </c>
      <c r="AS19" s="52" t="s">
        <v>502</v>
      </c>
      <c r="AT19" s="52" t="s">
        <v>503</v>
      </c>
      <c r="AU19" s="52"/>
      <c r="AV19" s="52"/>
    </row>
    <row r="20" spans="1:48" ht="13.8" x14ac:dyDescent="0.25">
      <c r="A20" s="52" t="s">
        <v>483</v>
      </c>
      <c r="B20" s="52" t="s">
        <v>389</v>
      </c>
      <c r="C20" s="52"/>
      <c r="D20" s="52"/>
      <c r="E20" s="53" t="s">
        <v>484</v>
      </c>
      <c r="F20" s="52" t="s">
        <v>485</v>
      </c>
      <c r="G20" s="52" t="s">
        <v>486</v>
      </c>
      <c r="H20" s="52" t="s">
        <v>393</v>
      </c>
      <c r="I20" s="52" t="s">
        <v>487</v>
      </c>
      <c r="J20" s="52" t="s">
        <v>393</v>
      </c>
      <c r="K20" s="52">
        <v>0</v>
      </c>
      <c r="L20" s="52" t="s">
        <v>393</v>
      </c>
      <c r="M20" s="52" t="s">
        <v>488</v>
      </c>
      <c r="N20" s="52" t="s">
        <v>466</v>
      </c>
      <c r="O20" s="52" t="s">
        <v>393</v>
      </c>
      <c r="P20" s="52" t="s">
        <v>393</v>
      </c>
      <c r="Q20" s="52" t="s">
        <v>489</v>
      </c>
      <c r="R20" s="52" t="s">
        <v>490</v>
      </c>
      <c r="S20" s="52" t="s">
        <v>396</v>
      </c>
      <c r="T20" s="52"/>
      <c r="U20" s="52" t="s">
        <v>399</v>
      </c>
      <c r="V20" s="54" t="s">
        <v>509</v>
      </c>
      <c r="W20" s="53" t="s">
        <v>510</v>
      </c>
      <c r="X20" s="52" t="s">
        <v>402</v>
      </c>
      <c r="Y20" s="52"/>
      <c r="Z20" s="52"/>
      <c r="AA20" s="52"/>
      <c r="AB20" s="52">
        <v>1</v>
      </c>
      <c r="AC20" s="52" t="s">
        <v>403</v>
      </c>
      <c r="AD20" s="52"/>
      <c r="AE20" s="52" t="s">
        <v>495</v>
      </c>
      <c r="AF20" s="52" t="s">
        <v>496</v>
      </c>
      <c r="AG20" s="52" t="s">
        <v>497</v>
      </c>
      <c r="AH20" s="52"/>
      <c r="AI20" s="52"/>
      <c r="AJ20" s="52"/>
      <c r="AK20" s="52" t="s">
        <v>498</v>
      </c>
      <c r="AL20" s="52" t="s">
        <v>499</v>
      </c>
      <c r="AM20" s="52" t="s">
        <v>410</v>
      </c>
      <c r="AN20" s="52"/>
      <c r="AO20" s="52" t="s">
        <v>411</v>
      </c>
      <c r="AP20" s="52" t="s">
        <v>500</v>
      </c>
      <c r="AQ20" s="52" t="s">
        <v>501</v>
      </c>
      <c r="AR20" s="52" t="s">
        <v>485</v>
      </c>
      <c r="AS20" s="52" t="s">
        <v>502</v>
      </c>
      <c r="AT20" s="52" t="s">
        <v>503</v>
      </c>
      <c r="AU20" s="52"/>
      <c r="AV20" s="52"/>
    </row>
    <row r="21" spans="1:48" ht="13.8" x14ac:dyDescent="0.25">
      <c r="A21" s="52" t="s">
        <v>483</v>
      </c>
      <c r="B21" s="52" t="s">
        <v>389</v>
      </c>
      <c r="C21" s="52"/>
      <c r="D21" s="52"/>
      <c r="E21" s="53" t="s">
        <v>484</v>
      </c>
      <c r="F21" s="52" t="s">
        <v>485</v>
      </c>
      <c r="G21" s="52" t="s">
        <v>486</v>
      </c>
      <c r="H21" s="52" t="s">
        <v>393</v>
      </c>
      <c r="I21" s="52" t="s">
        <v>487</v>
      </c>
      <c r="J21" s="52" t="s">
        <v>393</v>
      </c>
      <c r="K21" s="52">
        <v>0</v>
      </c>
      <c r="L21" s="52" t="s">
        <v>393</v>
      </c>
      <c r="M21" s="52" t="s">
        <v>488</v>
      </c>
      <c r="N21" s="52" t="s">
        <v>466</v>
      </c>
      <c r="O21" s="52" t="s">
        <v>393</v>
      </c>
      <c r="P21" s="52" t="s">
        <v>393</v>
      </c>
      <c r="Q21" s="52" t="s">
        <v>489</v>
      </c>
      <c r="R21" s="52" t="s">
        <v>490</v>
      </c>
      <c r="S21" s="52" t="s">
        <v>396</v>
      </c>
      <c r="T21" s="52"/>
      <c r="U21" s="52" t="s">
        <v>399</v>
      </c>
      <c r="V21" s="54" t="s">
        <v>509</v>
      </c>
      <c r="W21" s="53" t="s">
        <v>511</v>
      </c>
      <c r="X21" s="52" t="s">
        <v>402</v>
      </c>
      <c r="Y21" s="52"/>
      <c r="Z21" s="52"/>
      <c r="AA21" s="52"/>
      <c r="AB21" s="52">
        <v>1</v>
      </c>
      <c r="AC21" s="52" t="s">
        <v>403</v>
      </c>
      <c r="AD21" s="52"/>
      <c r="AE21" s="52" t="s">
        <v>495</v>
      </c>
      <c r="AF21" s="52" t="s">
        <v>496</v>
      </c>
      <c r="AG21" s="52" t="s">
        <v>497</v>
      </c>
      <c r="AH21" s="52"/>
      <c r="AI21" s="52"/>
      <c r="AJ21" s="52"/>
      <c r="AK21" s="52" t="s">
        <v>498</v>
      </c>
      <c r="AL21" s="52" t="s">
        <v>499</v>
      </c>
      <c r="AM21" s="52" t="s">
        <v>410</v>
      </c>
      <c r="AN21" s="52"/>
      <c r="AO21" s="52" t="s">
        <v>411</v>
      </c>
      <c r="AP21" s="52" t="s">
        <v>500</v>
      </c>
      <c r="AQ21" s="52" t="s">
        <v>501</v>
      </c>
      <c r="AR21" s="52" t="s">
        <v>485</v>
      </c>
      <c r="AS21" s="52" t="s">
        <v>502</v>
      </c>
      <c r="AT21" s="52" t="s">
        <v>503</v>
      </c>
      <c r="AU21" s="52"/>
      <c r="AV21" s="52"/>
    </row>
    <row r="22" spans="1:48" ht="13.8" x14ac:dyDescent="0.25">
      <c r="A22" s="61" t="s">
        <v>512</v>
      </c>
      <c r="B22" s="61" t="s">
        <v>389</v>
      </c>
      <c r="C22" s="61"/>
      <c r="D22" s="61" t="s">
        <v>513</v>
      </c>
      <c r="E22" s="62" t="s">
        <v>514</v>
      </c>
      <c r="F22" s="61" t="s">
        <v>515</v>
      </c>
      <c r="G22" s="61" t="s">
        <v>516</v>
      </c>
      <c r="H22" s="61" t="s">
        <v>393</v>
      </c>
      <c r="I22" s="61" t="s">
        <v>517</v>
      </c>
      <c r="J22" s="61" t="s">
        <v>393</v>
      </c>
      <c r="K22" s="61">
        <v>0</v>
      </c>
      <c r="L22" s="61" t="s">
        <v>393</v>
      </c>
      <c r="M22" s="61" t="s">
        <v>518</v>
      </c>
      <c r="N22" s="61" t="s">
        <v>393</v>
      </c>
      <c r="O22" s="61" t="s">
        <v>393</v>
      </c>
      <c r="P22" s="61" t="s">
        <v>393</v>
      </c>
      <c r="Q22" s="61" t="s">
        <v>396</v>
      </c>
      <c r="R22" s="61" t="s">
        <v>397</v>
      </c>
      <c r="S22" s="61" t="s">
        <v>426</v>
      </c>
      <c r="T22" s="61"/>
      <c r="U22" s="61" t="s">
        <v>399</v>
      </c>
      <c r="V22" s="63" t="s">
        <v>519</v>
      </c>
      <c r="W22" s="61" t="s">
        <v>520</v>
      </c>
      <c r="X22" s="61" t="s">
        <v>521</v>
      </c>
      <c r="Y22" s="61" t="s">
        <v>522</v>
      </c>
      <c r="Z22" s="61"/>
      <c r="AA22" s="61"/>
      <c r="AB22" s="61">
        <v>1</v>
      </c>
      <c r="AC22" s="61" t="s">
        <v>403</v>
      </c>
      <c r="AD22" s="61"/>
      <c r="AE22" s="61" t="s">
        <v>523</v>
      </c>
      <c r="AF22" s="61" t="s">
        <v>524</v>
      </c>
      <c r="AG22" s="61" t="s">
        <v>525</v>
      </c>
      <c r="AH22" s="61"/>
      <c r="AI22" s="61"/>
      <c r="AJ22" s="61"/>
      <c r="AK22" s="61" t="s">
        <v>526</v>
      </c>
      <c r="AL22" s="61" t="s">
        <v>453</v>
      </c>
      <c r="AM22" s="61" t="s">
        <v>410</v>
      </c>
      <c r="AN22" s="61"/>
      <c r="AO22" s="61" t="s">
        <v>411</v>
      </c>
      <c r="AP22" s="61" t="s">
        <v>527</v>
      </c>
      <c r="AQ22" s="61" t="s">
        <v>528</v>
      </c>
      <c r="AR22" s="61" t="s">
        <v>515</v>
      </c>
      <c r="AS22" s="61" t="s">
        <v>529</v>
      </c>
      <c r="AT22" s="61" t="s">
        <v>530</v>
      </c>
      <c r="AU22" s="61"/>
      <c r="AV22" s="61"/>
    </row>
    <row r="23" spans="1:48" ht="13.8" x14ac:dyDescent="0.25">
      <c r="A23" s="61" t="s">
        <v>512</v>
      </c>
      <c r="B23" s="61" t="s">
        <v>389</v>
      </c>
      <c r="C23" s="61"/>
      <c r="D23" s="61" t="s">
        <v>513</v>
      </c>
      <c r="E23" s="62" t="s">
        <v>514</v>
      </c>
      <c r="F23" s="61" t="s">
        <v>515</v>
      </c>
      <c r="G23" s="61" t="s">
        <v>516</v>
      </c>
      <c r="H23" s="61" t="s">
        <v>393</v>
      </c>
      <c r="I23" s="61" t="s">
        <v>517</v>
      </c>
      <c r="J23" s="61" t="s">
        <v>393</v>
      </c>
      <c r="K23" s="61">
        <v>0</v>
      </c>
      <c r="L23" s="61" t="s">
        <v>393</v>
      </c>
      <c r="M23" s="61" t="s">
        <v>518</v>
      </c>
      <c r="N23" s="61" t="s">
        <v>393</v>
      </c>
      <c r="O23" s="61" t="s">
        <v>393</v>
      </c>
      <c r="P23" s="61" t="s">
        <v>393</v>
      </c>
      <c r="Q23" s="61" t="s">
        <v>396</v>
      </c>
      <c r="R23" s="61" t="s">
        <v>397</v>
      </c>
      <c r="S23" s="61" t="s">
        <v>426</v>
      </c>
      <c r="T23" s="61"/>
      <c r="U23" s="61" t="s">
        <v>399</v>
      </c>
      <c r="V23" s="63" t="s">
        <v>519</v>
      </c>
      <c r="W23" s="61" t="s">
        <v>531</v>
      </c>
      <c r="X23" s="61" t="s">
        <v>521</v>
      </c>
      <c r="Y23" s="61" t="s">
        <v>522</v>
      </c>
      <c r="Z23" s="61"/>
      <c r="AA23" s="61"/>
      <c r="AB23" s="61">
        <v>1</v>
      </c>
      <c r="AC23" s="61" t="s">
        <v>403</v>
      </c>
      <c r="AD23" s="61"/>
      <c r="AE23" s="61" t="s">
        <v>523</v>
      </c>
      <c r="AF23" s="61" t="s">
        <v>524</v>
      </c>
      <c r="AG23" s="61" t="s">
        <v>525</v>
      </c>
      <c r="AH23" s="61"/>
      <c r="AI23" s="61"/>
      <c r="AJ23" s="61"/>
      <c r="AK23" s="61" t="s">
        <v>526</v>
      </c>
      <c r="AL23" s="61" t="s">
        <v>453</v>
      </c>
      <c r="AM23" s="61" t="s">
        <v>410</v>
      </c>
      <c r="AN23" s="61"/>
      <c r="AO23" s="61" t="s">
        <v>411</v>
      </c>
      <c r="AP23" s="61" t="s">
        <v>527</v>
      </c>
      <c r="AQ23" s="61" t="s">
        <v>528</v>
      </c>
      <c r="AR23" s="61" t="s">
        <v>515</v>
      </c>
      <c r="AS23" s="61" t="s">
        <v>529</v>
      </c>
      <c r="AT23" s="61" t="s">
        <v>530</v>
      </c>
      <c r="AU23" s="61"/>
      <c r="AV23" s="61"/>
    </row>
    <row r="24" spans="1:48" ht="13.8" x14ac:dyDescent="0.25">
      <c r="A24" s="61" t="s">
        <v>512</v>
      </c>
      <c r="B24" s="61" t="s">
        <v>389</v>
      </c>
      <c r="C24" s="61"/>
      <c r="D24" s="61" t="s">
        <v>513</v>
      </c>
      <c r="E24" s="62" t="s">
        <v>514</v>
      </c>
      <c r="F24" s="61" t="s">
        <v>515</v>
      </c>
      <c r="G24" s="61" t="s">
        <v>516</v>
      </c>
      <c r="H24" s="61" t="s">
        <v>393</v>
      </c>
      <c r="I24" s="61" t="s">
        <v>517</v>
      </c>
      <c r="J24" s="61" t="s">
        <v>393</v>
      </c>
      <c r="K24" s="61">
        <v>0</v>
      </c>
      <c r="L24" s="61" t="s">
        <v>393</v>
      </c>
      <c r="M24" s="61" t="s">
        <v>518</v>
      </c>
      <c r="N24" s="61" t="s">
        <v>393</v>
      </c>
      <c r="O24" s="61" t="s">
        <v>393</v>
      </c>
      <c r="P24" s="61" t="s">
        <v>393</v>
      </c>
      <c r="Q24" s="61" t="s">
        <v>396</v>
      </c>
      <c r="R24" s="61" t="s">
        <v>397</v>
      </c>
      <c r="S24" s="61" t="s">
        <v>426</v>
      </c>
      <c r="T24" s="61"/>
      <c r="U24" s="61" t="s">
        <v>399</v>
      </c>
      <c r="V24" s="63" t="s">
        <v>532</v>
      </c>
      <c r="W24" s="61" t="s">
        <v>533</v>
      </c>
      <c r="X24" s="61" t="s">
        <v>482</v>
      </c>
      <c r="Y24" s="61" t="s">
        <v>534</v>
      </c>
      <c r="Z24" s="61"/>
      <c r="AA24" s="61"/>
      <c r="AB24" s="61">
        <v>1</v>
      </c>
      <c r="AC24" s="61" t="s">
        <v>403</v>
      </c>
      <c r="AD24" s="61"/>
      <c r="AE24" s="61" t="s">
        <v>523</v>
      </c>
      <c r="AF24" s="61" t="s">
        <v>524</v>
      </c>
      <c r="AG24" s="61" t="s">
        <v>525</v>
      </c>
      <c r="AH24" s="61"/>
      <c r="AI24" s="61"/>
      <c r="AJ24" s="61"/>
      <c r="AK24" s="61" t="s">
        <v>526</v>
      </c>
      <c r="AL24" s="61" t="s">
        <v>453</v>
      </c>
      <c r="AM24" s="61" t="s">
        <v>410</v>
      </c>
      <c r="AN24" s="61"/>
      <c r="AO24" s="61" t="s">
        <v>411</v>
      </c>
      <c r="AP24" s="61" t="s">
        <v>527</v>
      </c>
      <c r="AQ24" s="61" t="s">
        <v>528</v>
      </c>
      <c r="AR24" s="61" t="s">
        <v>515</v>
      </c>
      <c r="AS24" s="61" t="s">
        <v>529</v>
      </c>
      <c r="AT24" s="61" t="s">
        <v>530</v>
      </c>
      <c r="AU24" s="61"/>
      <c r="AV24" s="61"/>
    </row>
    <row r="25" spans="1:48" ht="13.8" x14ac:dyDescent="0.25">
      <c r="A25" s="61" t="s">
        <v>512</v>
      </c>
      <c r="B25" s="61" t="s">
        <v>389</v>
      </c>
      <c r="C25" s="61"/>
      <c r="D25" s="61" t="s">
        <v>513</v>
      </c>
      <c r="E25" s="62" t="s">
        <v>514</v>
      </c>
      <c r="F25" s="61" t="s">
        <v>515</v>
      </c>
      <c r="G25" s="61" t="s">
        <v>516</v>
      </c>
      <c r="H25" s="61" t="s">
        <v>393</v>
      </c>
      <c r="I25" s="61" t="s">
        <v>517</v>
      </c>
      <c r="J25" s="61" t="s">
        <v>393</v>
      </c>
      <c r="K25" s="61">
        <v>0</v>
      </c>
      <c r="L25" s="61" t="s">
        <v>393</v>
      </c>
      <c r="M25" s="61" t="s">
        <v>518</v>
      </c>
      <c r="N25" s="61" t="s">
        <v>393</v>
      </c>
      <c r="O25" s="61" t="s">
        <v>393</v>
      </c>
      <c r="P25" s="61" t="s">
        <v>393</v>
      </c>
      <c r="Q25" s="61" t="s">
        <v>396</v>
      </c>
      <c r="R25" s="61" t="s">
        <v>397</v>
      </c>
      <c r="S25" s="61" t="s">
        <v>426</v>
      </c>
      <c r="T25" s="61"/>
      <c r="U25" s="61" t="s">
        <v>399</v>
      </c>
      <c r="V25" s="63" t="s">
        <v>532</v>
      </c>
      <c r="W25" s="62" t="s">
        <v>535</v>
      </c>
      <c r="X25" s="61" t="s">
        <v>482</v>
      </c>
      <c r="Y25" s="61" t="s">
        <v>534</v>
      </c>
      <c r="Z25" s="61"/>
      <c r="AA25" s="61"/>
      <c r="AB25" s="61">
        <v>1</v>
      </c>
      <c r="AC25" s="61" t="s">
        <v>403</v>
      </c>
      <c r="AD25" s="61"/>
      <c r="AE25" s="61" t="s">
        <v>523</v>
      </c>
      <c r="AF25" s="61" t="s">
        <v>524</v>
      </c>
      <c r="AG25" s="61" t="s">
        <v>525</v>
      </c>
      <c r="AH25" s="61"/>
      <c r="AI25" s="61"/>
      <c r="AJ25" s="61"/>
      <c r="AK25" s="61" t="s">
        <v>526</v>
      </c>
      <c r="AL25" s="61" t="s">
        <v>453</v>
      </c>
      <c r="AM25" s="61" t="s">
        <v>410</v>
      </c>
      <c r="AN25" s="61"/>
      <c r="AO25" s="61" t="s">
        <v>411</v>
      </c>
      <c r="AP25" s="61" t="s">
        <v>527</v>
      </c>
      <c r="AQ25" s="61" t="s">
        <v>528</v>
      </c>
      <c r="AR25" s="61" t="s">
        <v>515</v>
      </c>
      <c r="AS25" s="61" t="s">
        <v>529</v>
      </c>
      <c r="AT25" s="61" t="s">
        <v>530</v>
      </c>
      <c r="AU25" s="61"/>
      <c r="AV25" s="61"/>
    </row>
    <row r="26" spans="1:48" ht="13.8" x14ac:dyDescent="0.25">
      <c r="A26" s="61" t="s">
        <v>512</v>
      </c>
      <c r="B26" s="61" t="s">
        <v>389</v>
      </c>
      <c r="C26" s="61"/>
      <c r="D26" s="61" t="s">
        <v>513</v>
      </c>
      <c r="E26" s="62" t="s">
        <v>514</v>
      </c>
      <c r="F26" s="61" t="s">
        <v>515</v>
      </c>
      <c r="G26" s="61" t="s">
        <v>516</v>
      </c>
      <c r="H26" s="61" t="s">
        <v>393</v>
      </c>
      <c r="I26" s="61" t="s">
        <v>517</v>
      </c>
      <c r="J26" s="61" t="s">
        <v>393</v>
      </c>
      <c r="K26" s="61">
        <v>0</v>
      </c>
      <c r="L26" s="61" t="s">
        <v>393</v>
      </c>
      <c r="M26" s="61" t="s">
        <v>518</v>
      </c>
      <c r="N26" s="61" t="s">
        <v>393</v>
      </c>
      <c r="O26" s="61" t="s">
        <v>393</v>
      </c>
      <c r="P26" s="61" t="s">
        <v>393</v>
      </c>
      <c r="Q26" s="61" t="s">
        <v>396</v>
      </c>
      <c r="R26" s="61" t="s">
        <v>397</v>
      </c>
      <c r="S26" s="61" t="s">
        <v>426</v>
      </c>
      <c r="T26" s="61"/>
      <c r="U26" s="61" t="s">
        <v>399</v>
      </c>
      <c r="V26" s="63" t="s">
        <v>532</v>
      </c>
      <c r="W26" s="62" t="s">
        <v>536</v>
      </c>
      <c r="X26" s="61" t="s">
        <v>482</v>
      </c>
      <c r="Y26" s="61" t="s">
        <v>534</v>
      </c>
      <c r="Z26" s="61"/>
      <c r="AA26" s="61"/>
      <c r="AB26" s="61">
        <v>1</v>
      </c>
      <c r="AC26" s="61" t="s">
        <v>403</v>
      </c>
      <c r="AD26" s="61"/>
      <c r="AE26" s="61" t="s">
        <v>523</v>
      </c>
      <c r="AF26" s="61" t="s">
        <v>524</v>
      </c>
      <c r="AG26" s="61" t="s">
        <v>525</v>
      </c>
      <c r="AH26" s="61"/>
      <c r="AI26" s="61"/>
      <c r="AJ26" s="61"/>
      <c r="AK26" s="61" t="s">
        <v>526</v>
      </c>
      <c r="AL26" s="61" t="s">
        <v>453</v>
      </c>
      <c r="AM26" s="61" t="s">
        <v>410</v>
      </c>
      <c r="AN26" s="61"/>
      <c r="AO26" s="61" t="s">
        <v>411</v>
      </c>
      <c r="AP26" s="61" t="s">
        <v>527</v>
      </c>
      <c r="AQ26" s="61" t="s">
        <v>528</v>
      </c>
      <c r="AR26" s="61" t="s">
        <v>515</v>
      </c>
      <c r="AS26" s="61" t="s">
        <v>529</v>
      </c>
      <c r="AT26" s="61" t="s">
        <v>530</v>
      </c>
      <c r="AU26" s="61"/>
      <c r="AV26" s="61"/>
    </row>
    <row r="27" spans="1:48" ht="13.8" x14ac:dyDescent="0.25">
      <c r="A27" s="64" t="s">
        <v>537</v>
      </c>
      <c r="B27" s="64" t="s">
        <v>389</v>
      </c>
      <c r="C27" s="64"/>
      <c r="D27" s="64"/>
      <c r="E27" s="65" t="s">
        <v>538</v>
      </c>
      <c r="F27" s="64" t="s">
        <v>539</v>
      </c>
      <c r="G27" s="64" t="s">
        <v>540</v>
      </c>
      <c r="H27" s="64" t="s">
        <v>393</v>
      </c>
      <c r="I27" s="64" t="s">
        <v>540</v>
      </c>
      <c r="J27" s="64" t="s">
        <v>393</v>
      </c>
      <c r="K27" s="64">
        <v>0</v>
      </c>
      <c r="L27" s="64" t="s">
        <v>393</v>
      </c>
      <c r="M27" s="64" t="s">
        <v>518</v>
      </c>
      <c r="N27" s="64" t="s">
        <v>393</v>
      </c>
      <c r="O27" s="64" t="s">
        <v>393</v>
      </c>
      <c r="P27" s="64" t="s">
        <v>393</v>
      </c>
      <c r="Q27" s="64" t="s">
        <v>445</v>
      </c>
      <c r="R27" s="64" t="s">
        <v>541</v>
      </c>
      <c r="S27" s="64" t="s">
        <v>542</v>
      </c>
      <c r="T27" s="64"/>
      <c r="U27" s="64" t="s">
        <v>399</v>
      </c>
      <c r="V27" s="66" t="s">
        <v>480</v>
      </c>
      <c r="W27" s="65" t="s">
        <v>543</v>
      </c>
      <c r="X27" s="64" t="s">
        <v>482</v>
      </c>
      <c r="Y27" s="64" t="s">
        <v>534</v>
      </c>
      <c r="Z27" s="64"/>
      <c r="AA27" s="64"/>
      <c r="AB27" s="64">
        <v>1</v>
      </c>
      <c r="AC27" s="64" t="s">
        <v>447</v>
      </c>
      <c r="AD27" s="64" t="s">
        <v>544</v>
      </c>
      <c r="AE27" s="64" t="s">
        <v>545</v>
      </c>
      <c r="AF27" s="64" t="s">
        <v>546</v>
      </c>
      <c r="AG27" s="64" t="s">
        <v>547</v>
      </c>
      <c r="AH27" s="64"/>
      <c r="AI27" s="64"/>
      <c r="AJ27" s="64"/>
      <c r="AK27" s="64" t="s">
        <v>548</v>
      </c>
      <c r="AL27" s="64" t="s">
        <v>499</v>
      </c>
      <c r="AM27" s="64" t="s">
        <v>410</v>
      </c>
      <c r="AN27" s="64"/>
      <c r="AO27" s="64" t="s">
        <v>411</v>
      </c>
      <c r="AP27" s="64" t="s">
        <v>549</v>
      </c>
      <c r="AQ27" s="64" t="s">
        <v>550</v>
      </c>
      <c r="AR27" s="64" t="s">
        <v>539</v>
      </c>
      <c r="AS27" s="64" t="s">
        <v>551</v>
      </c>
      <c r="AT27" s="64" t="s">
        <v>552</v>
      </c>
      <c r="AU27" s="64"/>
      <c r="AV27" s="64"/>
    </row>
    <row r="28" spans="1:48" ht="13.8" x14ac:dyDescent="0.25">
      <c r="A28" s="64" t="s">
        <v>537</v>
      </c>
      <c r="B28" s="64" t="s">
        <v>389</v>
      </c>
      <c r="C28" s="64"/>
      <c r="D28" s="64"/>
      <c r="E28" s="65" t="s">
        <v>538</v>
      </c>
      <c r="F28" s="64" t="s">
        <v>539</v>
      </c>
      <c r="G28" s="64" t="s">
        <v>540</v>
      </c>
      <c r="H28" s="64" t="s">
        <v>393</v>
      </c>
      <c r="I28" s="64" t="s">
        <v>540</v>
      </c>
      <c r="J28" s="64" t="s">
        <v>393</v>
      </c>
      <c r="K28" s="64">
        <v>0</v>
      </c>
      <c r="L28" s="64" t="s">
        <v>393</v>
      </c>
      <c r="M28" s="64" t="s">
        <v>518</v>
      </c>
      <c r="N28" s="64" t="s">
        <v>393</v>
      </c>
      <c r="O28" s="64" t="s">
        <v>393</v>
      </c>
      <c r="P28" s="64" t="s">
        <v>393</v>
      </c>
      <c r="Q28" s="64" t="s">
        <v>445</v>
      </c>
      <c r="R28" s="64" t="s">
        <v>541</v>
      </c>
      <c r="S28" s="64" t="s">
        <v>542</v>
      </c>
      <c r="T28" s="64"/>
      <c r="U28" s="64" t="s">
        <v>399</v>
      </c>
      <c r="V28" s="66" t="s">
        <v>480</v>
      </c>
      <c r="W28" s="65" t="s">
        <v>553</v>
      </c>
      <c r="X28" s="64" t="s">
        <v>482</v>
      </c>
      <c r="Y28" s="64" t="s">
        <v>534</v>
      </c>
      <c r="Z28" s="64"/>
      <c r="AA28" s="64"/>
      <c r="AB28" s="64">
        <v>1</v>
      </c>
      <c r="AC28" s="64" t="s">
        <v>447</v>
      </c>
      <c r="AD28" s="64" t="s">
        <v>544</v>
      </c>
      <c r="AE28" s="64" t="s">
        <v>545</v>
      </c>
      <c r="AF28" s="64" t="s">
        <v>546</v>
      </c>
      <c r="AG28" s="64" t="s">
        <v>547</v>
      </c>
      <c r="AH28" s="64"/>
      <c r="AI28" s="64"/>
      <c r="AJ28" s="64"/>
      <c r="AK28" s="64" t="s">
        <v>548</v>
      </c>
      <c r="AL28" s="64" t="s">
        <v>499</v>
      </c>
      <c r="AM28" s="64" t="s">
        <v>410</v>
      </c>
      <c r="AN28" s="64"/>
      <c r="AO28" s="64" t="s">
        <v>411</v>
      </c>
      <c r="AP28" s="64" t="s">
        <v>549</v>
      </c>
      <c r="AQ28" s="64" t="s">
        <v>550</v>
      </c>
      <c r="AR28" s="64" t="s">
        <v>539</v>
      </c>
      <c r="AS28" s="64" t="s">
        <v>551</v>
      </c>
      <c r="AT28" s="64" t="s">
        <v>552</v>
      </c>
      <c r="AU28" s="64"/>
      <c r="AV28" s="64"/>
    </row>
    <row r="29" spans="1:48" ht="13.8" x14ac:dyDescent="0.25">
      <c r="A29" s="64" t="s">
        <v>537</v>
      </c>
      <c r="B29" s="64" t="s">
        <v>389</v>
      </c>
      <c r="C29" s="64"/>
      <c r="D29" s="64"/>
      <c r="E29" s="65" t="s">
        <v>538</v>
      </c>
      <c r="F29" s="64" t="s">
        <v>539</v>
      </c>
      <c r="G29" s="64" t="s">
        <v>540</v>
      </c>
      <c r="H29" s="64" t="s">
        <v>393</v>
      </c>
      <c r="I29" s="64" t="s">
        <v>540</v>
      </c>
      <c r="J29" s="64" t="s">
        <v>393</v>
      </c>
      <c r="K29" s="64">
        <v>0</v>
      </c>
      <c r="L29" s="64" t="s">
        <v>393</v>
      </c>
      <c r="M29" s="64" t="s">
        <v>518</v>
      </c>
      <c r="N29" s="64" t="s">
        <v>393</v>
      </c>
      <c r="O29" s="64" t="s">
        <v>393</v>
      </c>
      <c r="P29" s="64" t="s">
        <v>393</v>
      </c>
      <c r="Q29" s="64" t="s">
        <v>445</v>
      </c>
      <c r="R29" s="64" t="s">
        <v>541</v>
      </c>
      <c r="S29" s="64" t="s">
        <v>542</v>
      </c>
      <c r="T29" s="64"/>
      <c r="U29" s="64" t="s">
        <v>399</v>
      </c>
      <c r="V29" s="66" t="s">
        <v>480</v>
      </c>
      <c r="W29" s="64" t="s">
        <v>554</v>
      </c>
      <c r="X29" s="64" t="s">
        <v>482</v>
      </c>
      <c r="Y29" s="64" t="s">
        <v>534</v>
      </c>
      <c r="Z29" s="64"/>
      <c r="AA29" s="64"/>
      <c r="AB29" s="64">
        <v>1</v>
      </c>
      <c r="AC29" s="64" t="s">
        <v>447</v>
      </c>
      <c r="AD29" s="64" t="s">
        <v>544</v>
      </c>
      <c r="AE29" s="64" t="s">
        <v>545</v>
      </c>
      <c r="AF29" s="64" t="s">
        <v>546</v>
      </c>
      <c r="AG29" s="64" t="s">
        <v>547</v>
      </c>
      <c r="AH29" s="64"/>
      <c r="AI29" s="64"/>
      <c r="AJ29" s="64"/>
      <c r="AK29" s="64" t="s">
        <v>548</v>
      </c>
      <c r="AL29" s="64" t="s">
        <v>499</v>
      </c>
      <c r="AM29" s="64" t="s">
        <v>410</v>
      </c>
      <c r="AN29" s="64"/>
      <c r="AO29" s="64" t="s">
        <v>411</v>
      </c>
      <c r="AP29" s="64" t="s">
        <v>549</v>
      </c>
      <c r="AQ29" s="64" t="s">
        <v>550</v>
      </c>
      <c r="AR29" s="64" t="s">
        <v>539</v>
      </c>
      <c r="AS29" s="64" t="s">
        <v>551</v>
      </c>
      <c r="AT29" s="64" t="s">
        <v>552</v>
      </c>
      <c r="AU29" s="64"/>
      <c r="AV29" s="64"/>
    </row>
    <row r="30" spans="1:48" ht="13.8" x14ac:dyDescent="0.25">
      <c r="A30" s="64" t="s">
        <v>537</v>
      </c>
      <c r="B30" s="64" t="s">
        <v>389</v>
      </c>
      <c r="C30" s="64"/>
      <c r="D30" s="64"/>
      <c r="E30" s="65" t="s">
        <v>538</v>
      </c>
      <c r="F30" s="64" t="s">
        <v>539</v>
      </c>
      <c r="G30" s="64" t="s">
        <v>540</v>
      </c>
      <c r="H30" s="64" t="s">
        <v>393</v>
      </c>
      <c r="I30" s="64" t="s">
        <v>540</v>
      </c>
      <c r="J30" s="64" t="s">
        <v>393</v>
      </c>
      <c r="K30" s="64">
        <v>0</v>
      </c>
      <c r="L30" s="64" t="s">
        <v>393</v>
      </c>
      <c r="M30" s="64" t="s">
        <v>518</v>
      </c>
      <c r="N30" s="64" t="s">
        <v>393</v>
      </c>
      <c r="O30" s="64" t="s">
        <v>393</v>
      </c>
      <c r="P30" s="64" t="s">
        <v>393</v>
      </c>
      <c r="Q30" s="64" t="s">
        <v>445</v>
      </c>
      <c r="R30" s="64" t="s">
        <v>541</v>
      </c>
      <c r="S30" s="64" t="s">
        <v>542</v>
      </c>
      <c r="T30" s="64"/>
      <c r="U30" s="64" t="s">
        <v>399</v>
      </c>
      <c r="V30" s="66" t="s">
        <v>480</v>
      </c>
      <c r="W30" s="65" t="s">
        <v>555</v>
      </c>
      <c r="X30" s="64" t="s">
        <v>482</v>
      </c>
      <c r="Y30" s="64" t="s">
        <v>534</v>
      </c>
      <c r="Z30" s="64"/>
      <c r="AA30" s="64"/>
      <c r="AB30" s="64">
        <v>1</v>
      </c>
      <c r="AC30" s="64" t="s">
        <v>447</v>
      </c>
      <c r="AD30" s="64" t="s">
        <v>544</v>
      </c>
      <c r="AE30" s="64" t="s">
        <v>545</v>
      </c>
      <c r="AF30" s="64" t="s">
        <v>546</v>
      </c>
      <c r="AG30" s="64" t="s">
        <v>547</v>
      </c>
      <c r="AH30" s="64"/>
      <c r="AI30" s="64"/>
      <c r="AJ30" s="64"/>
      <c r="AK30" s="64" t="s">
        <v>548</v>
      </c>
      <c r="AL30" s="64" t="s">
        <v>499</v>
      </c>
      <c r="AM30" s="64" t="s">
        <v>410</v>
      </c>
      <c r="AN30" s="64"/>
      <c r="AO30" s="64" t="s">
        <v>411</v>
      </c>
      <c r="AP30" s="64" t="s">
        <v>549</v>
      </c>
      <c r="AQ30" s="64" t="s">
        <v>550</v>
      </c>
      <c r="AR30" s="64" t="s">
        <v>539</v>
      </c>
      <c r="AS30" s="64" t="s">
        <v>551</v>
      </c>
      <c r="AT30" s="64" t="s">
        <v>552</v>
      </c>
      <c r="AU30" s="64"/>
      <c r="AV30" s="64"/>
    </row>
    <row r="31" spans="1:48" ht="13.8" x14ac:dyDescent="0.25">
      <c r="A31" s="64" t="s">
        <v>537</v>
      </c>
      <c r="B31" s="64" t="s">
        <v>389</v>
      </c>
      <c r="C31" s="64"/>
      <c r="D31" s="64"/>
      <c r="E31" s="65" t="s">
        <v>538</v>
      </c>
      <c r="F31" s="64" t="s">
        <v>539</v>
      </c>
      <c r="G31" s="64" t="s">
        <v>540</v>
      </c>
      <c r="H31" s="64" t="s">
        <v>393</v>
      </c>
      <c r="I31" s="64" t="s">
        <v>540</v>
      </c>
      <c r="J31" s="64" t="s">
        <v>393</v>
      </c>
      <c r="K31" s="64">
        <v>0</v>
      </c>
      <c r="L31" s="64" t="s">
        <v>393</v>
      </c>
      <c r="M31" s="64" t="s">
        <v>518</v>
      </c>
      <c r="N31" s="64" t="s">
        <v>393</v>
      </c>
      <c r="O31" s="64" t="s">
        <v>393</v>
      </c>
      <c r="P31" s="64" t="s">
        <v>393</v>
      </c>
      <c r="Q31" s="64" t="s">
        <v>445</v>
      </c>
      <c r="R31" s="64" t="s">
        <v>541</v>
      </c>
      <c r="S31" s="64" t="s">
        <v>542</v>
      </c>
      <c r="T31" s="64"/>
      <c r="U31" s="64" t="s">
        <v>399</v>
      </c>
      <c r="V31" s="66" t="s">
        <v>480</v>
      </c>
      <c r="W31" s="65" t="s">
        <v>556</v>
      </c>
      <c r="X31" s="64" t="s">
        <v>482</v>
      </c>
      <c r="Y31" s="64" t="s">
        <v>534</v>
      </c>
      <c r="Z31" s="64"/>
      <c r="AA31" s="64"/>
      <c r="AB31" s="64">
        <v>1</v>
      </c>
      <c r="AC31" s="64" t="s">
        <v>447</v>
      </c>
      <c r="AD31" s="64" t="s">
        <v>544</v>
      </c>
      <c r="AE31" s="64" t="s">
        <v>545</v>
      </c>
      <c r="AF31" s="64" t="s">
        <v>546</v>
      </c>
      <c r="AG31" s="64" t="s">
        <v>547</v>
      </c>
      <c r="AH31" s="64"/>
      <c r="AI31" s="64"/>
      <c r="AJ31" s="64"/>
      <c r="AK31" s="64" t="s">
        <v>548</v>
      </c>
      <c r="AL31" s="64" t="s">
        <v>499</v>
      </c>
      <c r="AM31" s="64" t="s">
        <v>410</v>
      </c>
      <c r="AN31" s="64"/>
      <c r="AO31" s="64" t="s">
        <v>411</v>
      </c>
      <c r="AP31" s="64" t="s">
        <v>549</v>
      </c>
      <c r="AQ31" s="64" t="s">
        <v>550</v>
      </c>
      <c r="AR31" s="64" t="s">
        <v>539</v>
      </c>
      <c r="AS31" s="64" t="s">
        <v>551</v>
      </c>
      <c r="AT31" s="64" t="s">
        <v>552</v>
      </c>
      <c r="AU31" s="64"/>
      <c r="AV31" s="64"/>
    </row>
    <row r="32" spans="1:48" ht="13.8" x14ac:dyDescent="0.25">
      <c r="A32" s="64" t="s">
        <v>537</v>
      </c>
      <c r="B32" s="64" t="s">
        <v>389</v>
      </c>
      <c r="C32" s="64"/>
      <c r="D32" s="64"/>
      <c r="E32" s="65" t="s">
        <v>538</v>
      </c>
      <c r="F32" s="64" t="s">
        <v>539</v>
      </c>
      <c r="G32" s="64" t="s">
        <v>540</v>
      </c>
      <c r="H32" s="64" t="s">
        <v>393</v>
      </c>
      <c r="I32" s="64" t="s">
        <v>540</v>
      </c>
      <c r="J32" s="64" t="s">
        <v>393</v>
      </c>
      <c r="K32" s="64">
        <v>0</v>
      </c>
      <c r="L32" s="64" t="s">
        <v>393</v>
      </c>
      <c r="M32" s="64" t="s">
        <v>518</v>
      </c>
      <c r="N32" s="64" t="s">
        <v>393</v>
      </c>
      <c r="O32" s="64" t="s">
        <v>393</v>
      </c>
      <c r="P32" s="64" t="s">
        <v>393</v>
      </c>
      <c r="Q32" s="64" t="s">
        <v>445</v>
      </c>
      <c r="R32" s="64" t="s">
        <v>541</v>
      </c>
      <c r="S32" s="64" t="s">
        <v>542</v>
      </c>
      <c r="T32" s="64"/>
      <c r="U32" s="64" t="s">
        <v>399</v>
      </c>
      <c r="V32" s="66" t="s">
        <v>480</v>
      </c>
      <c r="W32" s="65" t="s">
        <v>557</v>
      </c>
      <c r="X32" s="64" t="s">
        <v>482</v>
      </c>
      <c r="Y32" s="64" t="s">
        <v>534</v>
      </c>
      <c r="Z32" s="64"/>
      <c r="AA32" s="64"/>
      <c r="AB32" s="64">
        <v>1</v>
      </c>
      <c r="AC32" s="64" t="s">
        <v>447</v>
      </c>
      <c r="AD32" s="64" t="s">
        <v>544</v>
      </c>
      <c r="AE32" s="64" t="s">
        <v>545</v>
      </c>
      <c r="AF32" s="64" t="s">
        <v>546</v>
      </c>
      <c r="AG32" s="64" t="s">
        <v>547</v>
      </c>
      <c r="AH32" s="64"/>
      <c r="AI32" s="64"/>
      <c r="AJ32" s="64"/>
      <c r="AK32" s="64" t="s">
        <v>548</v>
      </c>
      <c r="AL32" s="64" t="s">
        <v>499</v>
      </c>
      <c r="AM32" s="64" t="s">
        <v>410</v>
      </c>
      <c r="AN32" s="64"/>
      <c r="AO32" s="64" t="s">
        <v>411</v>
      </c>
      <c r="AP32" s="64" t="s">
        <v>549</v>
      </c>
      <c r="AQ32" s="64" t="s">
        <v>550</v>
      </c>
      <c r="AR32" s="64" t="s">
        <v>539</v>
      </c>
      <c r="AS32" s="64" t="s">
        <v>551</v>
      </c>
      <c r="AT32" s="64" t="s">
        <v>552</v>
      </c>
      <c r="AU32" s="64"/>
      <c r="AV32" s="64"/>
    </row>
    <row r="33" spans="1:48" ht="13.8" x14ac:dyDescent="0.25">
      <c r="A33" s="64" t="s">
        <v>537</v>
      </c>
      <c r="B33" s="64" t="s">
        <v>389</v>
      </c>
      <c r="C33" s="64"/>
      <c r="D33" s="64"/>
      <c r="E33" s="65" t="s">
        <v>538</v>
      </c>
      <c r="F33" s="64" t="s">
        <v>539</v>
      </c>
      <c r="G33" s="64" t="s">
        <v>540</v>
      </c>
      <c r="H33" s="64" t="s">
        <v>393</v>
      </c>
      <c r="I33" s="64" t="s">
        <v>540</v>
      </c>
      <c r="J33" s="64" t="s">
        <v>393</v>
      </c>
      <c r="K33" s="64">
        <v>0</v>
      </c>
      <c r="L33" s="64" t="s">
        <v>393</v>
      </c>
      <c r="M33" s="64" t="s">
        <v>518</v>
      </c>
      <c r="N33" s="64" t="s">
        <v>393</v>
      </c>
      <c r="O33" s="64" t="s">
        <v>393</v>
      </c>
      <c r="P33" s="64" t="s">
        <v>393</v>
      </c>
      <c r="Q33" s="64" t="s">
        <v>445</v>
      </c>
      <c r="R33" s="64" t="s">
        <v>541</v>
      </c>
      <c r="S33" s="64" t="s">
        <v>542</v>
      </c>
      <c r="T33" s="64"/>
      <c r="U33" s="64" t="s">
        <v>399</v>
      </c>
      <c r="V33" s="66" t="s">
        <v>480</v>
      </c>
      <c r="W33" s="64" t="s">
        <v>535</v>
      </c>
      <c r="X33" s="64" t="s">
        <v>482</v>
      </c>
      <c r="Y33" s="64" t="s">
        <v>534</v>
      </c>
      <c r="Z33" s="64"/>
      <c r="AA33" s="64"/>
      <c r="AB33" s="64">
        <v>3</v>
      </c>
      <c r="AC33" s="64" t="s">
        <v>447</v>
      </c>
      <c r="AD33" s="64" t="s">
        <v>544</v>
      </c>
      <c r="AE33" s="64" t="s">
        <v>545</v>
      </c>
      <c r="AF33" s="64" t="s">
        <v>546</v>
      </c>
      <c r="AG33" s="64" t="s">
        <v>547</v>
      </c>
      <c r="AH33" s="64"/>
      <c r="AI33" s="64"/>
      <c r="AJ33" s="64"/>
      <c r="AK33" s="64" t="s">
        <v>548</v>
      </c>
      <c r="AL33" s="64" t="s">
        <v>499</v>
      </c>
      <c r="AM33" s="64" t="s">
        <v>410</v>
      </c>
      <c r="AN33" s="64"/>
      <c r="AO33" s="64" t="s">
        <v>411</v>
      </c>
      <c r="AP33" s="64" t="s">
        <v>549</v>
      </c>
      <c r="AQ33" s="64" t="s">
        <v>550</v>
      </c>
      <c r="AR33" s="64" t="s">
        <v>539</v>
      </c>
      <c r="AS33" s="64" t="s">
        <v>551</v>
      </c>
      <c r="AT33" s="64" t="s">
        <v>552</v>
      </c>
      <c r="AU33" s="64"/>
      <c r="AV33" s="64"/>
    </row>
    <row r="34" spans="1:48" ht="13.8" x14ac:dyDescent="0.25">
      <c r="A34" s="64" t="s">
        <v>537</v>
      </c>
      <c r="B34" s="64" t="s">
        <v>389</v>
      </c>
      <c r="C34" s="64"/>
      <c r="D34" s="64"/>
      <c r="E34" s="65" t="s">
        <v>538</v>
      </c>
      <c r="F34" s="64" t="s">
        <v>539</v>
      </c>
      <c r="G34" s="64" t="s">
        <v>540</v>
      </c>
      <c r="H34" s="64" t="s">
        <v>393</v>
      </c>
      <c r="I34" s="64" t="s">
        <v>540</v>
      </c>
      <c r="J34" s="64" t="s">
        <v>393</v>
      </c>
      <c r="K34" s="64">
        <v>0</v>
      </c>
      <c r="L34" s="64" t="s">
        <v>393</v>
      </c>
      <c r="M34" s="64" t="s">
        <v>518</v>
      </c>
      <c r="N34" s="64" t="s">
        <v>393</v>
      </c>
      <c r="O34" s="64" t="s">
        <v>393</v>
      </c>
      <c r="P34" s="64" t="s">
        <v>393</v>
      </c>
      <c r="Q34" s="64" t="s">
        <v>445</v>
      </c>
      <c r="R34" s="64" t="s">
        <v>541</v>
      </c>
      <c r="S34" s="64" t="s">
        <v>542</v>
      </c>
      <c r="T34" s="64"/>
      <c r="U34" s="64" t="s">
        <v>399</v>
      </c>
      <c r="V34" s="66" t="s">
        <v>480</v>
      </c>
      <c r="W34" s="64" t="s">
        <v>536</v>
      </c>
      <c r="X34" s="64" t="s">
        <v>482</v>
      </c>
      <c r="Y34" s="64" t="s">
        <v>534</v>
      </c>
      <c r="Z34" s="64"/>
      <c r="AA34" s="64"/>
      <c r="AB34" s="64">
        <v>1</v>
      </c>
      <c r="AC34" s="64" t="s">
        <v>447</v>
      </c>
      <c r="AD34" s="64" t="s">
        <v>544</v>
      </c>
      <c r="AE34" s="64" t="s">
        <v>545</v>
      </c>
      <c r="AF34" s="64" t="s">
        <v>546</v>
      </c>
      <c r="AG34" s="64" t="s">
        <v>547</v>
      </c>
      <c r="AH34" s="64"/>
      <c r="AI34" s="64"/>
      <c r="AJ34" s="64"/>
      <c r="AK34" s="64" t="s">
        <v>548</v>
      </c>
      <c r="AL34" s="64" t="s">
        <v>499</v>
      </c>
      <c r="AM34" s="64" t="s">
        <v>410</v>
      </c>
      <c r="AN34" s="64"/>
      <c r="AO34" s="64" t="s">
        <v>411</v>
      </c>
      <c r="AP34" s="64" t="s">
        <v>549</v>
      </c>
      <c r="AQ34" s="64" t="s">
        <v>550</v>
      </c>
      <c r="AR34" s="64" t="s">
        <v>539</v>
      </c>
      <c r="AS34" s="64" t="s">
        <v>551</v>
      </c>
      <c r="AT34" s="64" t="s">
        <v>552</v>
      </c>
      <c r="AU34" s="64"/>
      <c r="AV34" s="64"/>
    </row>
    <row r="35" spans="1:48" ht="13.8" x14ac:dyDescent="0.25">
      <c r="A35" s="64" t="s">
        <v>537</v>
      </c>
      <c r="B35" s="64" t="s">
        <v>389</v>
      </c>
      <c r="C35" s="64"/>
      <c r="D35" s="64"/>
      <c r="E35" s="65" t="s">
        <v>538</v>
      </c>
      <c r="F35" s="64" t="s">
        <v>539</v>
      </c>
      <c r="G35" s="64" t="s">
        <v>540</v>
      </c>
      <c r="H35" s="64" t="s">
        <v>393</v>
      </c>
      <c r="I35" s="64" t="s">
        <v>540</v>
      </c>
      <c r="J35" s="64" t="s">
        <v>393</v>
      </c>
      <c r="K35" s="64">
        <v>0</v>
      </c>
      <c r="L35" s="64" t="s">
        <v>393</v>
      </c>
      <c r="M35" s="64" t="s">
        <v>518</v>
      </c>
      <c r="N35" s="64" t="s">
        <v>393</v>
      </c>
      <c r="O35" s="64" t="s">
        <v>393</v>
      </c>
      <c r="P35" s="64" t="s">
        <v>393</v>
      </c>
      <c r="Q35" s="64" t="s">
        <v>445</v>
      </c>
      <c r="R35" s="64" t="s">
        <v>541</v>
      </c>
      <c r="S35" s="64" t="s">
        <v>542</v>
      </c>
      <c r="T35" s="64"/>
      <c r="U35" s="64" t="s">
        <v>399</v>
      </c>
      <c r="V35" s="66" t="s">
        <v>558</v>
      </c>
      <c r="W35" s="66" t="s">
        <v>64</v>
      </c>
      <c r="X35" s="64" t="s">
        <v>521</v>
      </c>
      <c r="Y35" s="64"/>
      <c r="Z35" s="64"/>
      <c r="AA35" s="64"/>
      <c r="AB35" s="64">
        <v>2</v>
      </c>
      <c r="AC35" s="64" t="s">
        <v>447</v>
      </c>
      <c r="AD35" s="64" t="s">
        <v>544</v>
      </c>
      <c r="AE35" s="64" t="s">
        <v>545</v>
      </c>
      <c r="AF35" s="64" t="s">
        <v>546</v>
      </c>
      <c r="AG35" s="64" t="s">
        <v>547</v>
      </c>
      <c r="AH35" s="64"/>
      <c r="AI35" s="64"/>
      <c r="AJ35" s="64"/>
      <c r="AK35" s="64" t="s">
        <v>548</v>
      </c>
      <c r="AL35" s="64" t="s">
        <v>499</v>
      </c>
      <c r="AM35" s="64" t="s">
        <v>410</v>
      </c>
      <c r="AN35" s="64"/>
      <c r="AO35" s="64" t="s">
        <v>411</v>
      </c>
      <c r="AP35" s="64" t="s">
        <v>549</v>
      </c>
      <c r="AQ35" s="64" t="s">
        <v>550</v>
      </c>
      <c r="AR35" s="64" t="s">
        <v>539</v>
      </c>
      <c r="AS35" s="64" t="s">
        <v>551</v>
      </c>
      <c r="AT35" s="64" t="s">
        <v>552</v>
      </c>
      <c r="AU35" s="64"/>
      <c r="AV35" s="64"/>
    </row>
    <row r="36" spans="1:48" ht="13.8" x14ac:dyDescent="0.25">
      <c r="A36" s="64" t="s">
        <v>537</v>
      </c>
      <c r="B36" s="64" t="s">
        <v>389</v>
      </c>
      <c r="C36" s="64"/>
      <c r="D36" s="64"/>
      <c r="E36" s="65" t="s">
        <v>538</v>
      </c>
      <c r="F36" s="64" t="s">
        <v>539</v>
      </c>
      <c r="G36" s="64" t="s">
        <v>540</v>
      </c>
      <c r="H36" s="64" t="s">
        <v>393</v>
      </c>
      <c r="I36" s="64" t="s">
        <v>540</v>
      </c>
      <c r="J36" s="64" t="s">
        <v>393</v>
      </c>
      <c r="K36" s="64">
        <v>0</v>
      </c>
      <c r="L36" s="64" t="s">
        <v>393</v>
      </c>
      <c r="M36" s="64" t="s">
        <v>518</v>
      </c>
      <c r="N36" s="64" t="s">
        <v>393</v>
      </c>
      <c r="O36" s="64" t="s">
        <v>393</v>
      </c>
      <c r="P36" s="64" t="s">
        <v>393</v>
      </c>
      <c r="Q36" s="64" t="s">
        <v>445</v>
      </c>
      <c r="R36" s="64" t="s">
        <v>541</v>
      </c>
      <c r="S36" s="64" t="s">
        <v>542</v>
      </c>
      <c r="T36" s="64"/>
      <c r="U36" s="64" t="s">
        <v>399</v>
      </c>
      <c r="V36" s="66" t="s">
        <v>558</v>
      </c>
      <c r="W36" s="66" t="s">
        <v>66</v>
      </c>
      <c r="X36" s="64" t="s">
        <v>521</v>
      </c>
      <c r="Y36" s="64"/>
      <c r="Z36" s="64"/>
      <c r="AA36" s="64"/>
      <c r="AB36" s="64">
        <v>1</v>
      </c>
      <c r="AC36" s="64" t="s">
        <v>447</v>
      </c>
      <c r="AD36" s="64" t="s">
        <v>544</v>
      </c>
      <c r="AE36" s="64" t="s">
        <v>545</v>
      </c>
      <c r="AF36" s="64" t="s">
        <v>546</v>
      </c>
      <c r="AG36" s="64" t="s">
        <v>547</v>
      </c>
      <c r="AH36" s="64"/>
      <c r="AI36" s="64"/>
      <c r="AJ36" s="64"/>
      <c r="AK36" s="64" t="s">
        <v>548</v>
      </c>
      <c r="AL36" s="64" t="s">
        <v>499</v>
      </c>
      <c r="AM36" s="64" t="s">
        <v>410</v>
      </c>
      <c r="AN36" s="64"/>
      <c r="AO36" s="64" t="s">
        <v>411</v>
      </c>
      <c r="AP36" s="64" t="s">
        <v>549</v>
      </c>
      <c r="AQ36" s="64" t="s">
        <v>550</v>
      </c>
      <c r="AR36" s="64" t="s">
        <v>539</v>
      </c>
      <c r="AS36" s="64" t="s">
        <v>551</v>
      </c>
      <c r="AT36" s="64" t="s">
        <v>552</v>
      </c>
      <c r="AU36" s="64"/>
      <c r="AV36" s="64"/>
    </row>
    <row r="37" spans="1:48" ht="13.8" x14ac:dyDescent="0.25">
      <c r="A37" s="64" t="s">
        <v>537</v>
      </c>
      <c r="B37" s="64" t="s">
        <v>389</v>
      </c>
      <c r="C37" s="64"/>
      <c r="D37" s="64"/>
      <c r="E37" s="65" t="s">
        <v>538</v>
      </c>
      <c r="F37" s="64" t="s">
        <v>539</v>
      </c>
      <c r="G37" s="64" t="s">
        <v>540</v>
      </c>
      <c r="H37" s="64" t="s">
        <v>393</v>
      </c>
      <c r="I37" s="64" t="s">
        <v>540</v>
      </c>
      <c r="J37" s="64" t="s">
        <v>393</v>
      </c>
      <c r="K37" s="64">
        <v>0</v>
      </c>
      <c r="L37" s="64" t="s">
        <v>393</v>
      </c>
      <c r="M37" s="64" t="s">
        <v>518</v>
      </c>
      <c r="N37" s="64" t="s">
        <v>393</v>
      </c>
      <c r="O37" s="64" t="s">
        <v>393</v>
      </c>
      <c r="P37" s="64" t="s">
        <v>393</v>
      </c>
      <c r="Q37" s="64" t="s">
        <v>445</v>
      </c>
      <c r="R37" s="64" t="s">
        <v>541</v>
      </c>
      <c r="S37" s="64" t="s">
        <v>542</v>
      </c>
      <c r="T37" s="64"/>
      <c r="U37" s="64" t="s">
        <v>399</v>
      </c>
      <c r="V37" s="66" t="s">
        <v>558</v>
      </c>
      <c r="W37" s="66" t="s">
        <v>67</v>
      </c>
      <c r="X37" s="64" t="s">
        <v>521</v>
      </c>
      <c r="Y37" s="64"/>
      <c r="Z37" s="64"/>
      <c r="AA37" s="64"/>
      <c r="AB37" s="64">
        <v>2</v>
      </c>
      <c r="AC37" s="64" t="s">
        <v>447</v>
      </c>
      <c r="AD37" s="64" t="s">
        <v>544</v>
      </c>
      <c r="AE37" s="64" t="s">
        <v>545</v>
      </c>
      <c r="AF37" s="64" t="s">
        <v>546</v>
      </c>
      <c r="AG37" s="64" t="s">
        <v>547</v>
      </c>
      <c r="AH37" s="64"/>
      <c r="AI37" s="64"/>
      <c r="AJ37" s="64"/>
      <c r="AK37" s="64" t="s">
        <v>548</v>
      </c>
      <c r="AL37" s="64" t="s">
        <v>499</v>
      </c>
      <c r="AM37" s="64" t="s">
        <v>410</v>
      </c>
      <c r="AN37" s="64"/>
      <c r="AO37" s="64" t="s">
        <v>411</v>
      </c>
      <c r="AP37" s="64" t="s">
        <v>549</v>
      </c>
      <c r="AQ37" s="64" t="s">
        <v>550</v>
      </c>
      <c r="AR37" s="64" t="s">
        <v>539</v>
      </c>
      <c r="AS37" s="64" t="s">
        <v>551</v>
      </c>
      <c r="AT37" s="64" t="s">
        <v>552</v>
      </c>
      <c r="AU37" s="64"/>
      <c r="AV37" s="64"/>
    </row>
    <row r="38" spans="1:48" ht="13.8" x14ac:dyDescent="0.25">
      <c r="A38" s="67" t="s">
        <v>559</v>
      </c>
      <c r="B38" s="67" t="s">
        <v>389</v>
      </c>
      <c r="C38" s="67"/>
      <c r="D38" s="67"/>
      <c r="E38" s="68" t="s">
        <v>560</v>
      </c>
      <c r="F38" s="67" t="s">
        <v>561</v>
      </c>
      <c r="G38" s="67" t="s">
        <v>562</v>
      </c>
      <c r="H38" s="67" t="s">
        <v>393</v>
      </c>
      <c r="I38" s="67" t="s">
        <v>563</v>
      </c>
      <c r="J38" s="67" t="s">
        <v>393</v>
      </c>
      <c r="K38" s="67">
        <v>0</v>
      </c>
      <c r="L38" s="67" t="s">
        <v>393</v>
      </c>
      <c r="M38" s="67" t="s">
        <v>564</v>
      </c>
      <c r="N38" s="67" t="s">
        <v>565</v>
      </c>
      <c r="O38" s="67" t="s">
        <v>393</v>
      </c>
      <c r="P38" s="67" t="s">
        <v>393</v>
      </c>
      <c r="Q38" s="67" t="s">
        <v>566</v>
      </c>
      <c r="R38" s="67" t="s">
        <v>567</v>
      </c>
      <c r="S38" s="67" t="s">
        <v>568</v>
      </c>
      <c r="T38" s="67"/>
      <c r="U38" s="67" t="s">
        <v>399</v>
      </c>
      <c r="V38" s="69" t="s">
        <v>519</v>
      </c>
      <c r="W38" s="68" t="s">
        <v>569</v>
      </c>
      <c r="X38" s="67" t="s">
        <v>521</v>
      </c>
      <c r="Y38" s="67"/>
      <c r="Z38" s="67"/>
      <c r="AA38" s="67"/>
      <c r="AB38" s="67">
        <v>20</v>
      </c>
      <c r="AC38" s="67" t="s">
        <v>403</v>
      </c>
      <c r="AD38" s="67"/>
      <c r="AE38" s="67" t="s">
        <v>570</v>
      </c>
      <c r="AF38" s="67" t="s">
        <v>571</v>
      </c>
      <c r="AG38" s="67" t="s">
        <v>572</v>
      </c>
      <c r="AH38" s="67"/>
      <c r="AI38" s="67" t="s">
        <v>573</v>
      </c>
      <c r="AJ38" s="67"/>
      <c r="AK38" s="67" t="s">
        <v>574</v>
      </c>
      <c r="AL38" s="67" t="s">
        <v>409</v>
      </c>
      <c r="AM38" s="67" t="s">
        <v>410</v>
      </c>
      <c r="AN38" s="67"/>
      <c r="AO38" s="67" t="s">
        <v>411</v>
      </c>
      <c r="AP38" s="67" t="s">
        <v>575</v>
      </c>
      <c r="AQ38" s="67" t="s">
        <v>576</v>
      </c>
      <c r="AR38" s="67" t="s">
        <v>561</v>
      </c>
      <c r="AS38" s="67" t="s">
        <v>577</v>
      </c>
      <c r="AT38" s="67" t="s">
        <v>578</v>
      </c>
      <c r="AU38" s="67"/>
      <c r="AV38" s="67"/>
    </row>
    <row r="39" spans="1:48" ht="13.8" x14ac:dyDescent="0.25">
      <c r="A39" s="70" t="s">
        <v>579</v>
      </c>
      <c r="B39" s="70" t="s">
        <v>389</v>
      </c>
      <c r="C39" s="70"/>
      <c r="D39" s="70"/>
      <c r="E39" s="71" t="s">
        <v>580</v>
      </c>
      <c r="F39" s="70" t="s">
        <v>581</v>
      </c>
      <c r="G39" s="70" t="s">
        <v>582</v>
      </c>
      <c r="H39" s="70" t="s">
        <v>393</v>
      </c>
      <c r="I39" s="70" t="s">
        <v>582</v>
      </c>
      <c r="J39" s="70" t="s">
        <v>393</v>
      </c>
      <c r="K39" s="70">
        <v>0</v>
      </c>
      <c r="L39" s="70" t="s">
        <v>393</v>
      </c>
      <c r="M39" s="70" t="s">
        <v>583</v>
      </c>
      <c r="N39" s="70" t="s">
        <v>393</v>
      </c>
      <c r="O39" s="70" t="s">
        <v>393</v>
      </c>
      <c r="P39" s="70" t="s">
        <v>393</v>
      </c>
      <c r="Q39" s="70" t="s">
        <v>584</v>
      </c>
      <c r="R39" s="70" t="s">
        <v>567</v>
      </c>
      <c r="S39" s="70" t="s">
        <v>568</v>
      </c>
      <c r="T39" s="70"/>
      <c r="U39" s="70" t="s">
        <v>399</v>
      </c>
      <c r="V39" s="72" t="s">
        <v>585</v>
      </c>
      <c r="W39" s="72" t="s">
        <v>60</v>
      </c>
      <c r="X39" s="70" t="s">
        <v>521</v>
      </c>
      <c r="Y39" s="70"/>
      <c r="Z39" s="70"/>
      <c r="AA39" s="70"/>
      <c r="AB39" s="70">
        <v>1</v>
      </c>
      <c r="AC39" s="70" t="s">
        <v>447</v>
      </c>
      <c r="AD39" s="70" t="s">
        <v>586</v>
      </c>
      <c r="AE39" s="70" t="s">
        <v>587</v>
      </c>
      <c r="AF39" s="70" t="s">
        <v>588</v>
      </c>
      <c r="AG39" s="70" t="s">
        <v>589</v>
      </c>
      <c r="AH39" s="70"/>
      <c r="AI39" s="70"/>
      <c r="AJ39" s="70"/>
      <c r="AK39" s="70" t="s">
        <v>590</v>
      </c>
      <c r="AL39" s="70" t="s">
        <v>499</v>
      </c>
      <c r="AM39" s="70" t="s">
        <v>410</v>
      </c>
      <c r="AN39" s="70"/>
      <c r="AO39" s="70" t="s">
        <v>411</v>
      </c>
      <c r="AP39" s="70" t="s">
        <v>591</v>
      </c>
      <c r="AQ39" s="70" t="s">
        <v>592</v>
      </c>
      <c r="AR39" s="70" t="s">
        <v>581</v>
      </c>
      <c r="AS39" s="70" t="s">
        <v>593</v>
      </c>
      <c r="AT39" s="70" t="s">
        <v>594</v>
      </c>
      <c r="AU39" s="70"/>
      <c r="AV39" s="70"/>
    </row>
    <row r="40" spans="1:48" ht="13.8" x14ac:dyDescent="0.25">
      <c r="A40" s="70" t="s">
        <v>579</v>
      </c>
      <c r="B40" s="70" t="s">
        <v>389</v>
      </c>
      <c r="C40" s="70"/>
      <c r="D40" s="70"/>
      <c r="E40" s="71" t="s">
        <v>580</v>
      </c>
      <c r="F40" s="70" t="s">
        <v>581</v>
      </c>
      <c r="G40" s="70" t="s">
        <v>582</v>
      </c>
      <c r="H40" s="70" t="s">
        <v>393</v>
      </c>
      <c r="I40" s="70" t="s">
        <v>582</v>
      </c>
      <c r="J40" s="70" t="s">
        <v>393</v>
      </c>
      <c r="K40" s="70">
        <v>0</v>
      </c>
      <c r="L40" s="70" t="s">
        <v>393</v>
      </c>
      <c r="M40" s="70" t="s">
        <v>583</v>
      </c>
      <c r="N40" s="70" t="s">
        <v>393</v>
      </c>
      <c r="O40" s="70" t="s">
        <v>393</v>
      </c>
      <c r="P40" s="70" t="s">
        <v>393</v>
      </c>
      <c r="Q40" s="70" t="s">
        <v>584</v>
      </c>
      <c r="R40" s="70" t="s">
        <v>567</v>
      </c>
      <c r="S40" s="70" t="s">
        <v>568</v>
      </c>
      <c r="T40" s="70"/>
      <c r="U40" s="70" t="s">
        <v>399</v>
      </c>
      <c r="V40" s="72" t="s">
        <v>585</v>
      </c>
      <c r="W40" s="72" t="s">
        <v>61</v>
      </c>
      <c r="X40" s="70" t="s">
        <v>521</v>
      </c>
      <c r="Y40" s="70"/>
      <c r="Z40" s="70"/>
      <c r="AA40" s="70"/>
      <c r="AB40" s="70">
        <v>1</v>
      </c>
      <c r="AC40" s="70" t="s">
        <v>447</v>
      </c>
      <c r="AD40" s="70" t="s">
        <v>586</v>
      </c>
      <c r="AE40" s="70" t="s">
        <v>587</v>
      </c>
      <c r="AF40" s="70" t="s">
        <v>588</v>
      </c>
      <c r="AG40" s="70" t="s">
        <v>589</v>
      </c>
      <c r="AH40" s="70"/>
      <c r="AI40" s="70"/>
      <c r="AJ40" s="70"/>
      <c r="AK40" s="70" t="s">
        <v>590</v>
      </c>
      <c r="AL40" s="70" t="s">
        <v>499</v>
      </c>
      <c r="AM40" s="70" t="s">
        <v>410</v>
      </c>
      <c r="AN40" s="70"/>
      <c r="AO40" s="70" t="s">
        <v>411</v>
      </c>
      <c r="AP40" s="70" t="s">
        <v>591</v>
      </c>
      <c r="AQ40" s="70" t="s">
        <v>592</v>
      </c>
      <c r="AR40" s="70" t="s">
        <v>581</v>
      </c>
      <c r="AS40" s="70" t="s">
        <v>593</v>
      </c>
      <c r="AT40" s="70" t="s">
        <v>594</v>
      </c>
      <c r="AU40" s="70"/>
      <c r="AV40" s="70"/>
    </row>
    <row r="41" spans="1:48" ht="13.8" x14ac:dyDescent="0.25">
      <c r="A41" s="70" t="s">
        <v>579</v>
      </c>
      <c r="B41" s="70" t="s">
        <v>389</v>
      </c>
      <c r="C41" s="70"/>
      <c r="D41" s="70"/>
      <c r="E41" s="71" t="s">
        <v>580</v>
      </c>
      <c r="F41" s="70" t="s">
        <v>581</v>
      </c>
      <c r="G41" s="70" t="s">
        <v>582</v>
      </c>
      <c r="H41" s="70" t="s">
        <v>393</v>
      </c>
      <c r="I41" s="70" t="s">
        <v>582</v>
      </c>
      <c r="J41" s="70" t="s">
        <v>393</v>
      </c>
      <c r="K41" s="70">
        <v>0</v>
      </c>
      <c r="L41" s="70" t="s">
        <v>393</v>
      </c>
      <c r="M41" s="70" t="s">
        <v>583</v>
      </c>
      <c r="N41" s="70" t="s">
        <v>393</v>
      </c>
      <c r="O41" s="70" t="s">
        <v>393</v>
      </c>
      <c r="P41" s="70" t="s">
        <v>393</v>
      </c>
      <c r="Q41" s="70" t="s">
        <v>584</v>
      </c>
      <c r="R41" s="70" t="s">
        <v>567</v>
      </c>
      <c r="S41" s="70" t="s">
        <v>568</v>
      </c>
      <c r="T41" s="70"/>
      <c r="U41" s="70" t="s">
        <v>399</v>
      </c>
      <c r="V41" s="72" t="s">
        <v>585</v>
      </c>
      <c r="W41" s="72" t="s">
        <v>62</v>
      </c>
      <c r="X41" s="70" t="s">
        <v>521</v>
      </c>
      <c r="Y41" s="70"/>
      <c r="Z41" s="70"/>
      <c r="AA41" s="70"/>
      <c r="AB41" s="70">
        <v>1</v>
      </c>
      <c r="AC41" s="70" t="s">
        <v>447</v>
      </c>
      <c r="AD41" s="70" t="s">
        <v>586</v>
      </c>
      <c r="AE41" s="70" t="s">
        <v>587</v>
      </c>
      <c r="AF41" s="70" t="s">
        <v>588</v>
      </c>
      <c r="AG41" s="70" t="s">
        <v>589</v>
      </c>
      <c r="AH41" s="70"/>
      <c r="AI41" s="70"/>
      <c r="AJ41" s="70"/>
      <c r="AK41" s="70" t="s">
        <v>590</v>
      </c>
      <c r="AL41" s="70" t="s">
        <v>499</v>
      </c>
      <c r="AM41" s="70" t="s">
        <v>410</v>
      </c>
      <c r="AN41" s="70"/>
      <c r="AO41" s="70" t="s">
        <v>411</v>
      </c>
      <c r="AP41" s="70" t="s">
        <v>591</v>
      </c>
      <c r="AQ41" s="70" t="s">
        <v>592</v>
      </c>
      <c r="AR41" s="70" t="s">
        <v>581</v>
      </c>
      <c r="AS41" s="70" t="s">
        <v>593</v>
      </c>
      <c r="AT41" s="70" t="s">
        <v>594</v>
      </c>
      <c r="AU41" s="70"/>
      <c r="AV41" s="70"/>
    </row>
    <row r="42" spans="1:48" ht="13.8" x14ac:dyDescent="0.25">
      <c r="A42" s="70" t="s">
        <v>579</v>
      </c>
      <c r="B42" s="70" t="s">
        <v>389</v>
      </c>
      <c r="C42" s="70"/>
      <c r="D42" s="70"/>
      <c r="E42" s="71" t="s">
        <v>580</v>
      </c>
      <c r="F42" s="70" t="s">
        <v>581</v>
      </c>
      <c r="G42" s="70" t="s">
        <v>582</v>
      </c>
      <c r="H42" s="70" t="s">
        <v>393</v>
      </c>
      <c r="I42" s="70" t="s">
        <v>582</v>
      </c>
      <c r="J42" s="70" t="s">
        <v>393</v>
      </c>
      <c r="K42" s="70">
        <v>0</v>
      </c>
      <c r="L42" s="70" t="s">
        <v>393</v>
      </c>
      <c r="M42" s="70" t="s">
        <v>583</v>
      </c>
      <c r="N42" s="70" t="s">
        <v>393</v>
      </c>
      <c r="O42" s="70" t="s">
        <v>393</v>
      </c>
      <c r="P42" s="70" t="s">
        <v>393</v>
      </c>
      <c r="Q42" s="70" t="s">
        <v>584</v>
      </c>
      <c r="R42" s="70" t="s">
        <v>567</v>
      </c>
      <c r="S42" s="70" t="s">
        <v>568</v>
      </c>
      <c r="T42" s="70"/>
      <c r="U42" s="70" t="s">
        <v>399</v>
      </c>
      <c r="V42" s="72" t="s">
        <v>558</v>
      </c>
      <c r="W42" s="72" t="s">
        <v>64</v>
      </c>
      <c r="X42" s="70" t="s">
        <v>521</v>
      </c>
      <c r="Y42" s="70"/>
      <c r="Z42" s="70"/>
      <c r="AA42" s="70"/>
      <c r="AB42" s="70">
        <v>2</v>
      </c>
      <c r="AC42" s="70" t="s">
        <v>447</v>
      </c>
      <c r="AD42" s="70" t="s">
        <v>586</v>
      </c>
      <c r="AE42" s="70" t="s">
        <v>587</v>
      </c>
      <c r="AF42" s="70" t="s">
        <v>588</v>
      </c>
      <c r="AG42" s="70" t="s">
        <v>589</v>
      </c>
      <c r="AH42" s="70"/>
      <c r="AI42" s="70"/>
      <c r="AJ42" s="70"/>
      <c r="AK42" s="70" t="s">
        <v>590</v>
      </c>
      <c r="AL42" s="70" t="s">
        <v>499</v>
      </c>
      <c r="AM42" s="70" t="s">
        <v>410</v>
      </c>
      <c r="AN42" s="70"/>
      <c r="AO42" s="70" t="s">
        <v>411</v>
      </c>
      <c r="AP42" s="70" t="s">
        <v>591</v>
      </c>
      <c r="AQ42" s="70" t="s">
        <v>592</v>
      </c>
      <c r="AR42" s="70" t="s">
        <v>581</v>
      </c>
      <c r="AS42" s="70" t="s">
        <v>593</v>
      </c>
      <c r="AT42" s="70" t="s">
        <v>594</v>
      </c>
      <c r="AU42" s="70"/>
      <c r="AV42" s="70"/>
    </row>
    <row r="43" spans="1:48" ht="13.8" x14ac:dyDescent="0.25">
      <c r="A43" s="70" t="s">
        <v>579</v>
      </c>
      <c r="B43" s="70" t="s">
        <v>389</v>
      </c>
      <c r="C43" s="70"/>
      <c r="D43" s="70"/>
      <c r="E43" s="71" t="s">
        <v>580</v>
      </c>
      <c r="F43" s="70" t="s">
        <v>581</v>
      </c>
      <c r="G43" s="70" t="s">
        <v>582</v>
      </c>
      <c r="H43" s="70" t="s">
        <v>393</v>
      </c>
      <c r="I43" s="70" t="s">
        <v>582</v>
      </c>
      <c r="J43" s="70" t="s">
        <v>393</v>
      </c>
      <c r="K43" s="70">
        <v>0</v>
      </c>
      <c r="L43" s="70" t="s">
        <v>393</v>
      </c>
      <c r="M43" s="70" t="s">
        <v>583</v>
      </c>
      <c r="N43" s="70" t="s">
        <v>393</v>
      </c>
      <c r="O43" s="70" t="s">
        <v>393</v>
      </c>
      <c r="P43" s="70" t="s">
        <v>393</v>
      </c>
      <c r="Q43" s="70" t="s">
        <v>584</v>
      </c>
      <c r="R43" s="70" t="s">
        <v>567</v>
      </c>
      <c r="S43" s="70" t="s">
        <v>568</v>
      </c>
      <c r="T43" s="70"/>
      <c r="U43" s="70" t="s">
        <v>399</v>
      </c>
      <c r="V43" s="72" t="s">
        <v>558</v>
      </c>
      <c r="W43" s="72" t="s">
        <v>66</v>
      </c>
      <c r="X43" s="70" t="s">
        <v>521</v>
      </c>
      <c r="Y43" s="70"/>
      <c r="Z43" s="70"/>
      <c r="AA43" s="70"/>
      <c r="AB43" s="70">
        <v>1</v>
      </c>
      <c r="AC43" s="70" t="s">
        <v>447</v>
      </c>
      <c r="AD43" s="70" t="s">
        <v>586</v>
      </c>
      <c r="AE43" s="70" t="s">
        <v>587</v>
      </c>
      <c r="AF43" s="70" t="s">
        <v>588</v>
      </c>
      <c r="AG43" s="70" t="s">
        <v>589</v>
      </c>
      <c r="AH43" s="70"/>
      <c r="AI43" s="70"/>
      <c r="AJ43" s="70"/>
      <c r="AK43" s="70" t="s">
        <v>590</v>
      </c>
      <c r="AL43" s="70" t="s">
        <v>499</v>
      </c>
      <c r="AM43" s="70" t="s">
        <v>410</v>
      </c>
      <c r="AN43" s="70"/>
      <c r="AO43" s="70" t="s">
        <v>411</v>
      </c>
      <c r="AP43" s="70" t="s">
        <v>591</v>
      </c>
      <c r="AQ43" s="70" t="s">
        <v>592</v>
      </c>
      <c r="AR43" s="70" t="s">
        <v>581</v>
      </c>
      <c r="AS43" s="70" t="s">
        <v>593</v>
      </c>
      <c r="AT43" s="70" t="s">
        <v>594</v>
      </c>
      <c r="AU43" s="70"/>
      <c r="AV43" s="70"/>
    </row>
    <row r="44" spans="1:48" ht="13.8" x14ac:dyDescent="0.25">
      <c r="A44" s="70" t="s">
        <v>579</v>
      </c>
      <c r="B44" s="70" t="s">
        <v>389</v>
      </c>
      <c r="C44" s="70"/>
      <c r="D44" s="70"/>
      <c r="E44" s="71" t="s">
        <v>580</v>
      </c>
      <c r="F44" s="70" t="s">
        <v>581</v>
      </c>
      <c r="G44" s="70" t="s">
        <v>582</v>
      </c>
      <c r="H44" s="70" t="s">
        <v>393</v>
      </c>
      <c r="I44" s="70" t="s">
        <v>582</v>
      </c>
      <c r="J44" s="70" t="s">
        <v>393</v>
      </c>
      <c r="K44" s="70">
        <v>0</v>
      </c>
      <c r="L44" s="70" t="s">
        <v>393</v>
      </c>
      <c r="M44" s="70" t="s">
        <v>583</v>
      </c>
      <c r="N44" s="70" t="s">
        <v>393</v>
      </c>
      <c r="O44" s="70" t="s">
        <v>393</v>
      </c>
      <c r="P44" s="70" t="s">
        <v>393</v>
      </c>
      <c r="Q44" s="70" t="s">
        <v>584</v>
      </c>
      <c r="R44" s="70" t="s">
        <v>567</v>
      </c>
      <c r="S44" s="70" t="s">
        <v>568</v>
      </c>
      <c r="T44" s="70"/>
      <c r="U44" s="70" t="s">
        <v>399</v>
      </c>
      <c r="V44" s="72" t="s">
        <v>558</v>
      </c>
      <c r="W44" s="72" t="s">
        <v>67</v>
      </c>
      <c r="X44" s="70" t="s">
        <v>521</v>
      </c>
      <c r="Y44" s="70"/>
      <c r="Z44" s="70"/>
      <c r="AA44" s="70"/>
      <c r="AB44" s="70">
        <v>3</v>
      </c>
      <c r="AC44" s="70" t="s">
        <v>447</v>
      </c>
      <c r="AD44" s="70" t="s">
        <v>586</v>
      </c>
      <c r="AE44" s="70" t="s">
        <v>587</v>
      </c>
      <c r="AF44" s="70" t="s">
        <v>588</v>
      </c>
      <c r="AG44" s="70" t="s">
        <v>589</v>
      </c>
      <c r="AH44" s="70"/>
      <c r="AI44" s="70"/>
      <c r="AJ44" s="70"/>
      <c r="AK44" s="70" t="s">
        <v>590</v>
      </c>
      <c r="AL44" s="70" t="s">
        <v>499</v>
      </c>
      <c r="AM44" s="70" t="s">
        <v>410</v>
      </c>
      <c r="AN44" s="70"/>
      <c r="AO44" s="70" t="s">
        <v>411</v>
      </c>
      <c r="AP44" s="70" t="s">
        <v>591</v>
      </c>
      <c r="AQ44" s="70" t="s">
        <v>592</v>
      </c>
      <c r="AR44" s="70" t="s">
        <v>581</v>
      </c>
      <c r="AS44" s="70" t="s">
        <v>593</v>
      </c>
      <c r="AT44" s="70" t="s">
        <v>594</v>
      </c>
      <c r="AU44" s="70"/>
      <c r="AV44" s="70"/>
    </row>
    <row r="45" spans="1:48" ht="13.8" x14ac:dyDescent="0.25">
      <c r="A45" s="70" t="s">
        <v>579</v>
      </c>
      <c r="B45" s="70" t="s">
        <v>389</v>
      </c>
      <c r="C45" s="70"/>
      <c r="D45" s="70"/>
      <c r="E45" s="71" t="s">
        <v>580</v>
      </c>
      <c r="F45" s="70" t="s">
        <v>581</v>
      </c>
      <c r="G45" s="70" t="s">
        <v>582</v>
      </c>
      <c r="H45" s="70" t="s">
        <v>393</v>
      </c>
      <c r="I45" s="70" t="s">
        <v>582</v>
      </c>
      <c r="J45" s="70" t="s">
        <v>393</v>
      </c>
      <c r="K45" s="70">
        <v>0</v>
      </c>
      <c r="L45" s="70" t="s">
        <v>393</v>
      </c>
      <c r="M45" s="70" t="s">
        <v>583</v>
      </c>
      <c r="N45" s="70" t="s">
        <v>393</v>
      </c>
      <c r="O45" s="70" t="s">
        <v>393</v>
      </c>
      <c r="P45" s="70" t="s">
        <v>393</v>
      </c>
      <c r="Q45" s="70" t="s">
        <v>584</v>
      </c>
      <c r="R45" s="70" t="s">
        <v>567</v>
      </c>
      <c r="S45" s="70" t="s">
        <v>568</v>
      </c>
      <c r="T45" s="70"/>
      <c r="U45" s="70" t="s">
        <v>399</v>
      </c>
      <c r="V45" s="72" t="s">
        <v>558</v>
      </c>
      <c r="W45" s="72" t="s">
        <v>69</v>
      </c>
      <c r="X45" s="70" t="s">
        <v>521</v>
      </c>
      <c r="Y45" s="70"/>
      <c r="Z45" s="70"/>
      <c r="AA45" s="70"/>
      <c r="AB45" s="70">
        <v>1</v>
      </c>
      <c r="AC45" s="70" t="s">
        <v>447</v>
      </c>
      <c r="AD45" s="70" t="s">
        <v>586</v>
      </c>
      <c r="AE45" s="70" t="s">
        <v>587</v>
      </c>
      <c r="AF45" s="70" t="s">
        <v>588</v>
      </c>
      <c r="AG45" s="70" t="s">
        <v>589</v>
      </c>
      <c r="AH45" s="70"/>
      <c r="AI45" s="70"/>
      <c r="AJ45" s="70"/>
      <c r="AK45" s="70" t="s">
        <v>590</v>
      </c>
      <c r="AL45" s="70" t="s">
        <v>499</v>
      </c>
      <c r="AM45" s="70" t="s">
        <v>410</v>
      </c>
      <c r="AN45" s="70"/>
      <c r="AO45" s="70" t="s">
        <v>411</v>
      </c>
      <c r="AP45" s="70" t="s">
        <v>591</v>
      </c>
      <c r="AQ45" s="70" t="s">
        <v>592</v>
      </c>
      <c r="AR45" s="70" t="s">
        <v>581</v>
      </c>
      <c r="AS45" s="70" t="s">
        <v>593</v>
      </c>
      <c r="AT45" s="70" t="s">
        <v>594</v>
      </c>
      <c r="AU45" s="70"/>
      <c r="AV45" s="70"/>
    </row>
    <row r="46" spans="1:48" ht="13.8" x14ac:dyDescent="0.25">
      <c r="A46" s="70" t="s">
        <v>579</v>
      </c>
      <c r="B46" s="70" t="s">
        <v>389</v>
      </c>
      <c r="C46" s="70"/>
      <c r="D46" s="70"/>
      <c r="E46" s="71" t="s">
        <v>580</v>
      </c>
      <c r="F46" s="70" t="s">
        <v>581</v>
      </c>
      <c r="G46" s="70" t="s">
        <v>582</v>
      </c>
      <c r="H46" s="70" t="s">
        <v>393</v>
      </c>
      <c r="I46" s="70" t="s">
        <v>582</v>
      </c>
      <c r="J46" s="70" t="s">
        <v>393</v>
      </c>
      <c r="K46" s="70">
        <v>0</v>
      </c>
      <c r="L46" s="70" t="s">
        <v>393</v>
      </c>
      <c r="M46" s="70" t="s">
        <v>583</v>
      </c>
      <c r="N46" s="70" t="s">
        <v>393</v>
      </c>
      <c r="O46" s="70" t="s">
        <v>393</v>
      </c>
      <c r="P46" s="70" t="s">
        <v>393</v>
      </c>
      <c r="Q46" s="70" t="s">
        <v>584</v>
      </c>
      <c r="R46" s="70" t="s">
        <v>567</v>
      </c>
      <c r="S46" s="70" t="s">
        <v>568</v>
      </c>
      <c r="T46" s="70"/>
      <c r="U46" s="70" t="s">
        <v>399</v>
      </c>
      <c r="V46" s="72" t="s">
        <v>469</v>
      </c>
      <c r="W46" s="72" t="s">
        <v>55</v>
      </c>
      <c r="X46" s="70" t="s">
        <v>444</v>
      </c>
      <c r="Y46" s="70"/>
      <c r="Z46" s="70"/>
      <c r="AA46" s="70"/>
      <c r="AB46" s="70">
        <v>20</v>
      </c>
      <c r="AC46" s="70" t="s">
        <v>447</v>
      </c>
      <c r="AD46" s="70" t="s">
        <v>586</v>
      </c>
      <c r="AE46" s="70" t="s">
        <v>587</v>
      </c>
      <c r="AF46" s="70" t="s">
        <v>588</v>
      </c>
      <c r="AG46" s="70" t="s">
        <v>589</v>
      </c>
      <c r="AH46" s="70"/>
      <c r="AI46" s="70"/>
      <c r="AJ46" s="70"/>
      <c r="AK46" s="70" t="s">
        <v>590</v>
      </c>
      <c r="AL46" s="70" t="s">
        <v>499</v>
      </c>
      <c r="AM46" s="70" t="s">
        <v>410</v>
      </c>
      <c r="AN46" s="70"/>
      <c r="AO46" s="70" t="s">
        <v>411</v>
      </c>
      <c r="AP46" s="70" t="s">
        <v>591</v>
      </c>
      <c r="AQ46" s="70" t="s">
        <v>592</v>
      </c>
      <c r="AR46" s="70" t="s">
        <v>581</v>
      </c>
      <c r="AS46" s="70" t="s">
        <v>593</v>
      </c>
      <c r="AT46" s="70" t="s">
        <v>594</v>
      </c>
      <c r="AU46" s="70"/>
      <c r="AV46" s="70"/>
    </row>
    <row r="47" spans="1:48" ht="13.8" x14ac:dyDescent="0.25">
      <c r="A47" s="70" t="s">
        <v>579</v>
      </c>
      <c r="B47" s="70" t="s">
        <v>389</v>
      </c>
      <c r="C47" s="70"/>
      <c r="D47" s="70"/>
      <c r="E47" s="71" t="s">
        <v>580</v>
      </c>
      <c r="F47" s="70" t="s">
        <v>581</v>
      </c>
      <c r="G47" s="70" t="s">
        <v>582</v>
      </c>
      <c r="H47" s="70" t="s">
        <v>393</v>
      </c>
      <c r="I47" s="70" t="s">
        <v>582</v>
      </c>
      <c r="J47" s="70" t="s">
        <v>393</v>
      </c>
      <c r="K47" s="70">
        <v>0</v>
      </c>
      <c r="L47" s="70" t="s">
        <v>393</v>
      </c>
      <c r="M47" s="70" t="s">
        <v>583</v>
      </c>
      <c r="N47" s="70" t="s">
        <v>393</v>
      </c>
      <c r="O47" s="70" t="s">
        <v>393</v>
      </c>
      <c r="P47" s="70" t="s">
        <v>393</v>
      </c>
      <c r="Q47" s="70" t="s">
        <v>584</v>
      </c>
      <c r="R47" s="70" t="s">
        <v>567</v>
      </c>
      <c r="S47" s="70" t="s">
        <v>568</v>
      </c>
      <c r="T47" s="70"/>
      <c r="U47" s="70" t="s">
        <v>399</v>
      </c>
      <c r="V47" s="72" t="s">
        <v>558</v>
      </c>
      <c r="W47" s="72" t="s">
        <v>595</v>
      </c>
      <c r="X47" s="70" t="s">
        <v>521</v>
      </c>
      <c r="Y47" s="70"/>
      <c r="Z47" s="70"/>
      <c r="AA47" s="70"/>
      <c r="AB47" s="70">
        <v>1</v>
      </c>
      <c r="AC47" s="70" t="s">
        <v>447</v>
      </c>
      <c r="AD47" s="70" t="s">
        <v>586</v>
      </c>
      <c r="AE47" s="70" t="s">
        <v>587</v>
      </c>
      <c r="AF47" s="70" t="s">
        <v>588</v>
      </c>
      <c r="AG47" s="70" t="s">
        <v>589</v>
      </c>
      <c r="AH47" s="70"/>
      <c r="AI47" s="70"/>
      <c r="AJ47" s="70"/>
      <c r="AK47" s="70" t="s">
        <v>590</v>
      </c>
      <c r="AL47" s="70" t="s">
        <v>499</v>
      </c>
      <c r="AM47" s="70" t="s">
        <v>410</v>
      </c>
      <c r="AN47" s="70"/>
      <c r="AO47" s="70" t="s">
        <v>411</v>
      </c>
      <c r="AP47" s="70" t="s">
        <v>591</v>
      </c>
      <c r="AQ47" s="70" t="s">
        <v>592</v>
      </c>
      <c r="AR47" s="70" t="s">
        <v>581</v>
      </c>
      <c r="AS47" s="70" t="s">
        <v>593</v>
      </c>
      <c r="AT47" s="70" t="s">
        <v>594</v>
      </c>
      <c r="AU47" s="70"/>
      <c r="AV47" s="70"/>
    </row>
    <row r="48" spans="1:48" ht="13.8" x14ac:dyDescent="0.25">
      <c r="A48" s="70" t="s">
        <v>579</v>
      </c>
      <c r="B48" s="70" t="s">
        <v>389</v>
      </c>
      <c r="C48" s="70"/>
      <c r="D48" s="70"/>
      <c r="E48" s="71" t="s">
        <v>580</v>
      </c>
      <c r="F48" s="70" t="s">
        <v>581</v>
      </c>
      <c r="G48" s="70" t="s">
        <v>582</v>
      </c>
      <c r="H48" s="70" t="s">
        <v>393</v>
      </c>
      <c r="I48" s="70" t="s">
        <v>582</v>
      </c>
      <c r="J48" s="70" t="s">
        <v>393</v>
      </c>
      <c r="K48" s="70">
        <v>0</v>
      </c>
      <c r="L48" s="70" t="s">
        <v>393</v>
      </c>
      <c r="M48" s="70" t="s">
        <v>583</v>
      </c>
      <c r="N48" s="70" t="s">
        <v>393</v>
      </c>
      <c r="O48" s="70" t="s">
        <v>393</v>
      </c>
      <c r="P48" s="70" t="s">
        <v>393</v>
      </c>
      <c r="Q48" s="70" t="s">
        <v>584</v>
      </c>
      <c r="R48" s="70" t="s">
        <v>567</v>
      </c>
      <c r="S48" s="70" t="s">
        <v>568</v>
      </c>
      <c r="T48" s="70"/>
      <c r="U48" s="70" t="s">
        <v>399</v>
      </c>
      <c r="V48" s="72" t="s">
        <v>558</v>
      </c>
      <c r="W48" s="72" t="s">
        <v>596</v>
      </c>
      <c r="X48" s="70" t="s">
        <v>521</v>
      </c>
      <c r="Y48" s="70"/>
      <c r="Z48" s="70"/>
      <c r="AA48" s="70"/>
      <c r="AB48" s="70">
        <v>1</v>
      </c>
      <c r="AC48" s="70" t="s">
        <v>447</v>
      </c>
      <c r="AD48" s="70" t="s">
        <v>586</v>
      </c>
      <c r="AE48" s="70" t="s">
        <v>587</v>
      </c>
      <c r="AF48" s="70" t="s">
        <v>588</v>
      </c>
      <c r="AG48" s="70" t="s">
        <v>589</v>
      </c>
      <c r="AH48" s="70"/>
      <c r="AI48" s="70"/>
      <c r="AJ48" s="70"/>
      <c r="AK48" s="70" t="s">
        <v>590</v>
      </c>
      <c r="AL48" s="70" t="s">
        <v>499</v>
      </c>
      <c r="AM48" s="70" t="s">
        <v>410</v>
      </c>
      <c r="AN48" s="70"/>
      <c r="AO48" s="70" t="s">
        <v>411</v>
      </c>
      <c r="AP48" s="70" t="s">
        <v>591</v>
      </c>
      <c r="AQ48" s="70" t="s">
        <v>592</v>
      </c>
      <c r="AR48" s="70" t="s">
        <v>581</v>
      </c>
      <c r="AS48" s="70" t="s">
        <v>593</v>
      </c>
      <c r="AT48" s="70" t="s">
        <v>594</v>
      </c>
      <c r="AU48" s="70"/>
      <c r="AV48" s="70"/>
    </row>
    <row r="49" spans="1:48" ht="13.8" x14ac:dyDescent="0.25">
      <c r="A49" s="70" t="s">
        <v>579</v>
      </c>
      <c r="B49" s="70" t="s">
        <v>389</v>
      </c>
      <c r="C49" s="70"/>
      <c r="D49" s="70"/>
      <c r="E49" s="71" t="s">
        <v>580</v>
      </c>
      <c r="F49" s="70" t="s">
        <v>581</v>
      </c>
      <c r="G49" s="70" t="s">
        <v>582</v>
      </c>
      <c r="H49" s="70" t="s">
        <v>393</v>
      </c>
      <c r="I49" s="70" t="s">
        <v>582</v>
      </c>
      <c r="J49" s="70" t="s">
        <v>393</v>
      </c>
      <c r="K49" s="70">
        <v>0</v>
      </c>
      <c r="L49" s="70" t="s">
        <v>393</v>
      </c>
      <c r="M49" s="70" t="s">
        <v>583</v>
      </c>
      <c r="N49" s="70" t="s">
        <v>393</v>
      </c>
      <c r="O49" s="70" t="s">
        <v>393</v>
      </c>
      <c r="P49" s="70" t="s">
        <v>393</v>
      </c>
      <c r="Q49" s="70" t="s">
        <v>584</v>
      </c>
      <c r="R49" s="70" t="s">
        <v>567</v>
      </c>
      <c r="S49" s="70" t="s">
        <v>568</v>
      </c>
      <c r="T49" s="70"/>
      <c r="U49" s="70" t="s">
        <v>399</v>
      </c>
      <c r="V49" s="72" t="s">
        <v>558</v>
      </c>
      <c r="W49" s="72" t="s">
        <v>597</v>
      </c>
      <c r="X49" s="70" t="s">
        <v>521</v>
      </c>
      <c r="Y49" s="70"/>
      <c r="Z49" s="70"/>
      <c r="AA49" s="70"/>
      <c r="AB49" s="70">
        <v>1</v>
      </c>
      <c r="AC49" s="70" t="s">
        <v>447</v>
      </c>
      <c r="AD49" s="70" t="s">
        <v>586</v>
      </c>
      <c r="AE49" s="70" t="s">
        <v>587</v>
      </c>
      <c r="AF49" s="70" t="s">
        <v>588</v>
      </c>
      <c r="AG49" s="70" t="s">
        <v>589</v>
      </c>
      <c r="AH49" s="70"/>
      <c r="AI49" s="70"/>
      <c r="AJ49" s="70"/>
      <c r="AK49" s="70" t="s">
        <v>590</v>
      </c>
      <c r="AL49" s="70" t="s">
        <v>499</v>
      </c>
      <c r="AM49" s="70" t="s">
        <v>410</v>
      </c>
      <c r="AN49" s="70"/>
      <c r="AO49" s="70" t="s">
        <v>411</v>
      </c>
      <c r="AP49" s="70" t="s">
        <v>591</v>
      </c>
      <c r="AQ49" s="70" t="s">
        <v>592</v>
      </c>
      <c r="AR49" s="70" t="s">
        <v>581</v>
      </c>
      <c r="AS49" s="70" t="s">
        <v>593</v>
      </c>
      <c r="AT49" s="70" t="s">
        <v>594</v>
      </c>
      <c r="AU49" s="70"/>
      <c r="AV49" s="70"/>
    </row>
    <row r="50" spans="1:48" ht="13.8" x14ac:dyDescent="0.25">
      <c r="A50" s="70" t="s">
        <v>579</v>
      </c>
      <c r="B50" s="70" t="s">
        <v>389</v>
      </c>
      <c r="C50" s="70"/>
      <c r="D50" s="70"/>
      <c r="E50" s="71" t="s">
        <v>580</v>
      </c>
      <c r="F50" s="70" t="s">
        <v>581</v>
      </c>
      <c r="G50" s="70" t="s">
        <v>582</v>
      </c>
      <c r="H50" s="70" t="s">
        <v>393</v>
      </c>
      <c r="I50" s="70" t="s">
        <v>582</v>
      </c>
      <c r="J50" s="70" t="s">
        <v>393</v>
      </c>
      <c r="K50" s="70">
        <v>0</v>
      </c>
      <c r="L50" s="70" t="s">
        <v>393</v>
      </c>
      <c r="M50" s="70" t="s">
        <v>583</v>
      </c>
      <c r="N50" s="70" t="s">
        <v>393</v>
      </c>
      <c r="O50" s="70" t="s">
        <v>393</v>
      </c>
      <c r="P50" s="70" t="s">
        <v>393</v>
      </c>
      <c r="Q50" s="70" t="s">
        <v>584</v>
      </c>
      <c r="R50" s="70" t="s">
        <v>567</v>
      </c>
      <c r="S50" s="70" t="s">
        <v>568</v>
      </c>
      <c r="T50" s="70"/>
      <c r="U50" s="70" t="s">
        <v>399</v>
      </c>
      <c r="V50" s="72" t="s">
        <v>469</v>
      </c>
      <c r="W50" s="72" t="s">
        <v>55</v>
      </c>
      <c r="X50" s="70" t="s">
        <v>444</v>
      </c>
      <c r="Y50" s="70"/>
      <c r="Z50" s="70"/>
      <c r="AA50" s="70"/>
      <c r="AB50" s="70">
        <v>10</v>
      </c>
      <c r="AC50" s="70" t="s">
        <v>447</v>
      </c>
      <c r="AD50" s="70" t="s">
        <v>586</v>
      </c>
      <c r="AE50" s="70" t="s">
        <v>587</v>
      </c>
      <c r="AF50" s="70" t="s">
        <v>588</v>
      </c>
      <c r="AG50" s="70" t="s">
        <v>589</v>
      </c>
      <c r="AH50" s="70"/>
      <c r="AI50" s="70"/>
      <c r="AJ50" s="70"/>
      <c r="AK50" s="70" t="s">
        <v>590</v>
      </c>
      <c r="AL50" s="70" t="s">
        <v>499</v>
      </c>
      <c r="AM50" s="70" t="s">
        <v>410</v>
      </c>
      <c r="AN50" s="70"/>
      <c r="AO50" s="70" t="s">
        <v>411</v>
      </c>
      <c r="AP50" s="70" t="s">
        <v>591</v>
      </c>
      <c r="AQ50" s="70" t="s">
        <v>592</v>
      </c>
      <c r="AR50" s="70" t="s">
        <v>581</v>
      </c>
      <c r="AS50" s="70" t="s">
        <v>593</v>
      </c>
      <c r="AT50" s="70" t="s">
        <v>594</v>
      </c>
      <c r="AU50" s="70"/>
      <c r="AV50" s="70"/>
    </row>
    <row r="51" spans="1:48" ht="13.8" x14ac:dyDescent="0.25">
      <c r="A51" t="s">
        <v>787</v>
      </c>
      <c r="B51" t="s">
        <v>389</v>
      </c>
      <c r="E51" t="s">
        <v>788</v>
      </c>
      <c r="F51" s="73">
        <v>44165.48333333333</v>
      </c>
      <c r="G51">
        <v>45</v>
      </c>
      <c r="H51" t="s">
        <v>393</v>
      </c>
      <c r="I51">
        <v>45</v>
      </c>
      <c r="J51" t="s">
        <v>393</v>
      </c>
      <c r="K51">
        <v>0</v>
      </c>
      <c r="L51" t="s">
        <v>393</v>
      </c>
      <c r="N51" t="s">
        <v>393</v>
      </c>
      <c r="O51" t="s">
        <v>393</v>
      </c>
      <c r="P51" t="s">
        <v>393</v>
      </c>
      <c r="Q51" t="s">
        <v>393</v>
      </c>
      <c r="R51" t="s">
        <v>393</v>
      </c>
      <c r="S51" t="s">
        <v>393</v>
      </c>
      <c r="U51" t="s">
        <v>399</v>
      </c>
      <c r="V51" s="1" t="s">
        <v>789</v>
      </c>
      <c r="W51" t="s">
        <v>790</v>
      </c>
      <c r="X51">
        <v>45</v>
      </c>
      <c r="AB51">
        <v>1</v>
      </c>
      <c r="AC51" t="s">
        <v>403</v>
      </c>
      <c r="AE51" t="s">
        <v>570</v>
      </c>
      <c r="AF51" t="s">
        <v>571</v>
      </c>
      <c r="AG51" t="s">
        <v>572</v>
      </c>
      <c r="AI51" t="s">
        <v>573</v>
      </c>
      <c r="AK51" t="s">
        <v>574</v>
      </c>
      <c r="AL51" t="s">
        <v>409</v>
      </c>
      <c r="AM51" t="s">
        <v>410</v>
      </c>
      <c r="AO51" t="s">
        <v>411</v>
      </c>
      <c r="AP51" t="s">
        <v>575</v>
      </c>
      <c r="AQ51" t="s">
        <v>576</v>
      </c>
      <c r="AR51" t="s">
        <v>561</v>
      </c>
      <c r="AS51" t="s">
        <v>577</v>
      </c>
      <c r="AT51" t="s">
        <v>578</v>
      </c>
    </row>
    <row r="52" spans="1:48" ht="13.8" x14ac:dyDescent="0.25">
      <c r="A52" t="s">
        <v>793</v>
      </c>
      <c r="B52" t="s">
        <v>389</v>
      </c>
      <c r="E52" t="s">
        <v>794</v>
      </c>
      <c r="F52" s="73">
        <v>44165.48333333333</v>
      </c>
      <c r="G52">
        <v>50</v>
      </c>
      <c r="H52" t="s">
        <v>393</v>
      </c>
      <c r="I52">
        <v>50</v>
      </c>
      <c r="J52" t="s">
        <v>393</v>
      </c>
      <c r="K52">
        <v>0</v>
      </c>
      <c r="L52" t="s">
        <v>393</v>
      </c>
      <c r="N52" t="s">
        <v>393</v>
      </c>
      <c r="O52" t="s">
        <v>393</v>
      </c>
      <c r="P52" t="s">
        <v>393</v>
      </c>
      <c r="Q52" t="s">
        <v>393</v>
      </c>
      <c r="R52" t="s">
        <v>393</v>
      </c>
      <c r="S52" t="s">
        <v>393</v>
      </c>
      <c r="U52" t="s">
        <v>399</v>
      </c>
      <c r="V52" s="1" t="s">
        <v>795</v>
      </c>
      <c r="W52" s="1" t="s">
        <v>595</v>
      </c>
      <c r="X52">
        <v>50</v>
      </c>
      <c r="AB52">
        <v>1</v>
      </c>
      <c r="AC52" t="s">
        <v>403</v>
      </c>
      <c r="AE52" t="s">
        <v>570</v>
      </c>
      <c r="AF52" t="s">
        <v>571</v>
      </c>
      <c r="AG52" t="s">
        <v>572</v>
      </c>
      <c r="AI52" t="s">
        <v>573</v>
      </c>
      <c r="AK52" t="s">
        <v>574</v>
      </c>
      <c r="AL52" t="s">
        <v>409</v>
      </c>
      <c r="AM52" t="s">
        <v>410</v>
      </c>
      <c r="AO52" t="s">
        <v>411</v>
      </c>
      <c r="AP52" t="s">
        <v>575</v>
      </c>
      <c r="AQ52" t="s">
        <v>576</v>
      </c>
      <c r="AR52" t="s">
        <v>561</v>
      </c>
      <c r="AS52" t="s">
        <v>577</v>
      </c>
      <c r="AT52" t="s">
        <v>578</v>
      </c>
    </row>
    <row r="53" spans="1:48" ht="13.8" x14ac:dyDescent="0.25">
      <c r="A53" t="s">
        <v>799</v>
      </c>
      <c r="B53" t="s">
        <v>389</v>
      </c>
      <c r="E53" t="s">
        <v>800</v>
      </c>
      <c r="F53" s="73">
        <v>44165.48333333333</v>
      </c>
      <c r="G53">
        <v>500</v>
      </c>
      <c r="H53" t="s">
        <v>393</v>
      </c>
      <c r="I53">
        <v>500</v>
      </c>
      <c r="J53" t="s">
        <v>393</v>
      </c>
      <c r="K53">
        <v>0</v>
      </c>
      <c r="L53" t="s">
        <v>393</v>
      </c>
      <c r="N53" t="s">
        <v>393</v>
      </c>
      <c r="O53" t="s">
        <v>393</v>
      </c>
      <c r="P53" t="s">
        <v>393</v>
      </c>
      <c r="Q53" t="s">
        <v>393</v>
      </c>
      <c r="R53" t="s">
        <v>393</v>
      </c>
      <c r="S53" t="s">
        <v>393</v>
      </c>
      <c r="U53" t="s">
        <v>399</v>
      </c>
      <c r="V53" t="s">
        <v>796</v>
      </c>
      <c r="W53" t="s">
        <v>797</v>
      </c>
      <c r="X53">
        <v>500</v>
      </c>
      <c r="AB53">
        <v>1</v>
      </c>
      <c r="AC53" t="s">
        <v>403</v>
      </c>
      <c r="AE53" t="s">
        <v>570</v>
      </c>
      <c r="AF53" t="s">
        <v>571</v>
      </c>
      <c r="AG53" t="s">
        <v>572</v>
      </c>
      <c r="AI53" t="s">
        <v>573</v>
      </c>
      <c r="AK53" t="s">
        <v>574</v>
      </c>
      <c r="AL53" t="s">
        <v>409</v>
      </c>
      <c r="AM53" t="s">
        <v>410</v>
      </c>
      <c r="AO53" t="s">
        <v>411</v>
      </c>
      <c r="AP53" t="s">
        <v>575</v>
      </c>
      <c r="AQ53" t="s">
        <v>576</v>
      </c>
      <c r="AR53" t="s">
        <v>561</v>
      </c>
      <c r="AS53" t="s">
        <v>577</v>
      </c>
      <c r="AT53" t="s">
        <v>578</v>
      </c>
    </row>
    <row r="54" spans="1:48" ht="13.8" x14ac:dyDescent="0.25">
      <c r="A54" t="s">
        <v>815</v>
      </c>
      <c r="B54" t="s">
        <v>389</v>
      </c>
      <c r="E54" t="s">
        <v>800</v>
      </c>
      <c r="F54" s="73">
        <v>44165.48333333333</v>
      </c>
      <c r="G54">
        <v>600</v>
      </c>
      <c r="H54" t="s">
        <v>393</v>
      </c>
      <c r="I54">
        <v>600</v>
      </c>
      <c r="J54" t="s">
        <v>393</v>
      </c>
      <c r="K54">
        <v>0</v>
      </c>
      <c r="L54" t="s">
        <v>393</v>
      </c>
      <c r="N54" t="s">
        <v>393</v>
      </c>
      <c r="O54" t="s">
        <v>393</v>
      </c>
      <c r="P54" t="s">
        <v>393</v>
      </c>
      <c r="Q54" t="s">
        <v>393</v>
      </c>
      <c r="R54" t="s">
        <v>393</v>
      </c>
      <c r="S54" t="s">
        <v>393</v>
      </c>
      <c r="U54" t="s">
        <v>399</v>
      </c>
      <c r="V54" t="s">
        <v>801</v>
      </c>
      <c r="W54" t="s">
        <v>802</v>
      </c>
      <c r="X54">
        <v>600</v>
      </c>
      <c r="AB54">
        <v>1</v>
      </c>
      <c r="AC54" t="s">
        <v>403</v>
      </c>
      <c r="AE54" t="s">
        <v>570</v>
      </c>
      <c r="AF54" t="s">
        <v>571</v>
      </c>
      <c r="AG54" t="s">
        <v>572</v>
      </c>
      <c r="AI54" t="s">
        <v>573</v>
      </c>
      <c r="AK54" t="s">
        <v>574</v>
      </c>
      <c r="AL54" t="s">
        <v>409</v>
      </c>
      <c r="AM54" t="s">
        <v>410</v>
      </c>
      <c r="AO54" t="s">
        <v>411</v>
      </c>
      <c r="AP54" t="s">
        <v>575</v>
      </c>
      <c r="AQ54" t="s">
        <v>576</v>
      </c>
      <c r="AR54" t="s">
        <v>561</v>
      </c>
      <c r="AS54" t="s">
        <v>577</v>
      </c>
      <c r="AT54" t="s">
        <v>578</v>
      </c>
    </row>
    <row r="55" spans="1:48" ht="15" x14ac:dyDescent="0.3">
      <c r="A55" s="100" t="s">
        <v>820</v>
      </c>
      <c r="B55" s="100" t="s">
        <v>821</v>
      </c>
      <c r="C55" s="100" t="s">
        <v>822</v>
      </c>
      <c r="D55" s="100" t="s">
        <v>822</v>
      </c>
      <c r="E55" s="100" t="s">
        <v>823</v>
      </c>
      <c r="F55" s="100" t="s">
        <v>824</v>
      </c>
      <c r="G55" s="100" t="s">
        <v>825</v>
      </c>
      <c r="H55" s="100" t="s">
        <v>393</v>
      </c>
      <c r="I55" s="100" t="s">
        <v>825</v>
      </c>
      <c r="J55" s="100" t="s">
        <v>393</v>
      </c>
      <c r="K55" s="100">
        <v>0</v>
      </c>
      <c r="L55" s="100" t="s">
        <v>393</v>
      </c>
      <c r="M55" s="100" t="s">
        <v>826</v>
      </c>
      <c r="N55" s="100" t="s">
        <v>542</v>
      </c>
      <c r="O55" s="100" t="s">
        <v>393</v>
      </c>
      <c r="P55" s="100" t="s">
        <v>393</v>
      </c>
      <c r="Q55" s="100" t="s">
        <v>396</v>
      </c>
      <c r="R55" s="100" t="s">
        <v>568</v>
      </c>
      <c r="S55" s="100" t="s">
        <v>466</v>
      </c>
      <c r="T55" s="100" t="s">
        <v>822</v>
      </c>
      <c r="U55" s="100" t="s">
        <v>822</v>
      </c>
      <c r="V55" s="101" t="s">
        <v>827</v>
      </c>
      <c r="W55" s="102" t="s">
        <v>828</v>
      </c>
      <c r="X55" s="100" t="s">
        <v>429</v>
      </c>
      <c r="Y55" s="100" t="s">
        <v>829</v>
      </c>
      <c r="Z55" s="100" t="s">
        <v>822</v>
      </c>
      <c r="AA55" s="100" t="s">
        <v>830</v>
      </c>
      <c r="AB55" s="100">
        <v>1</v>
      </c>
      <c r="AC55" s="100" t="s">
        <v>403</v>
      </c>
      <c r="AD55" s="100" t="s">
        <v>822</v>
      </c>
      <c r="AE55" s="100" t="s">
        <v>831</v>
      </c>
      <c r="AF55" s="100" t="s">
        <v>832</v>
      </c>
      <c r="AG55" s="100" t="s">
        <v>833</v>
      </c>
      <c r="AH55" s="100" t="s">
        <v>822</v>
      </c>
      <c r="AI55" s="100" t="s">
        <v>834</v>
      </c>
      <c r="AJ55" s="100" t="s">
        <v>822</v>
      </c>
      <c r="AK55" s="100" t="s">
        <v>835</v>
      </c>
      <c r="AL55" s="100" t="s">
        <v>409</v>
      </c>
      <c r="AM55" s="100" t="s">
        <v>410</v>
      </c>
      <c r="AN55" s="100" t="s">
        <v>822</v>
      </c>
      <c r="AO55" s="100" t="s">
        <v>836</v>
      </c>
      <c r="AP55" s="100" t="s">
        <v>837</v>
      </c>
      <c r="AQ55" s="100" t="s">
        <v>838</v>
      </c>
      <c r="AR55" s="100" t="s">
        <v>824</v>
      </c>
      <c r="AS55" s="100" t="s">
        <v>839</v>
      </c>
      <c r="AT55" s="100" t="s">
        <v>822</v>
      </c>
      <c r="AU55" s="100" t="s">
        <v>822</v>
      </c>
    </row>
    <row r="56" spans="1:48" ht="15" x14ac:dyDescent="0.3">
      <c r="A56" s="100" t="s">
        <v>840</v>
      </c>
      <c r="B56" s="100" t="s">
        <v>821</v>
      </c>
      <c r="C56" s="100" t="s">
        <v>822</v>
      </c>
      <c r="D56" s="100" t="s">
        <v>822</v>
      </c>
      <c r="E56" s="100" t="s">
        <v>841</v>
      </c>
      <c r="F56" s="100" t="s">
        <v>842</v>
      </c>
      <c r="G56" s="100" t="s">
        <v>843</v>
      </c>
      <c r="H56" s="100" t="s">
        <v>442</v>
      </c>
      <c r="I56" s="100" t="s">
        <v>844</v>
      </c>
      <c r="J56" s="100" t="s">
        <v>393</v>
      </c>
      <c r="K56" s="100">
        <v>0</v>
      </c>
      <c r="L56" s="100" t="s">
        <v>393</v>
      </c>
      <c r="M56" s="100" t="s">
        <v>822</v>
      </c>
      <c r="N56" s="100" t="s">
        <v>393</v>
      </c>
      <c r="O56" s="100" t="s">
        <v>393</v>
      </c>
      <c r="P56" s="100" t="s">
        <v>393</v>
      </c>
      <c r="Q56" s="100" t="s">
        <v>845</v>
      </c>
      <c r="R56" s="100" t="s">
        <v>425</v>
      </c>
      <c r="S56" s="100" t="s">
        <v>542</v>
      </c>
      <c r="T56" s="100" t="s">
        <v>822</v>
      </c>
      <c r="U56" s="100" t="s">
        <v>822</v>
      </c>
      <c r="V56" s="101" t="s">
        <v>827</v>
      </c>
      <c r="W56" s="102" t="s">
        <v>846</v>
      </c>
      <c r="X56" s="100" t="s">
        <v>402</v>
      </c>
      <c r="Y56" s="100" t="s">
        <v>402</v>
      </c>
      <c r="Z56" s="100" t="s">
        <v>822</v>
      </c>
      <c r="AA56" s="100" t="s">
        <v>847</v>
      </c>
      <c r="AB56" s="100">
        <v>1</v>
      </c>
      <c r="AC56" s="100" t="s">
        <v>403</v>
      </c>
      <c r="AD56" s="100" t="s">
        <v>822</v>
      </c>
      <c r="AE56" s="100" t="s">
        <v>848</v>
      </c>
      <c r="AF56" s="100" t="s">
        <v>849</v>
      </c>
      <c r="AG56" s="100" t="s">
        <v>850</v>
      </c>
      <c r="AH56" s="100" t="s">
        <v>822</v>
      </c>
      <c r="AI56" s="100" t="s">
        <v>822</v>
      </c>
      <c r="AJ56" s="100" t="s">
        <v>822</v>
      </c>
      <c r="AK56" s="100" t="s">
        <v>851</v>
      </c>
      <c r="AL56" s="100" t="s">
        <v>852</v>
      </c>
      <c r="AM56" s="100" t="s">
        <v>410</v>
      </c>
      <c r="AN56" s="100" t="s">
        <v>822</v>
      </c>
      <c r="AO56" s="100" t="s">
        <v>411</v>
      </c>
      <c r="AP56" s="100" t="s">
        <v>853</v>
      </c>
      <c r="AQ56" s="100" t="s">
        <v>854</v>
      </c>
      <c r="AR56" s="100" t="s">
        <v>842</v>
      </c>
      <c r="AS56" s="100" t="s">
        <v>855</v>
      </c>
      <c r="AT56" s="100" t="s">
        <v>822</v>
      </c>
      <c r="AU56" s="100" t="s">
        <v>822</v>
      </c>
    </row>
    <row r="57" spans="1:48" ht="15" x14ac:dyDescent="0.3">
      <c r="A57" s="100" t="s">
        <v>840</v>
      </c>
      <c r="B57" s="100" t="s">
        <v>821</v>
      </c>
      <c r="C57" s="100" t="s">
        <v>822</v>
      </c>
      <c r="D57" s="100" t="s">
        <v>822</v>
      </c>
      <c r="E57" s="100" t="s">
        <v>841</v>
      </c>
      <c r="F57" s="100" t="s">
        <v>842</v>
      </c>
      <c r="G57" s="100" t="s">
        <v>843</v>
      </c>
      <c r="H57" s="100" t="s">
        <v>442</v>
      </c>
      <c r="I57" s="100" t="s">
        <v>844</v>
      </c>
      <c r="J57" s="100" t="s">
        <v>393</v>
      </c>
      <c r="K57" s="100">
        <v>0</v>
      </c>
      <c r="L57" s="100" t="s">
        <v>393</v>
      </c>
      <c r="M57" s="100" t="s">
        <v>822</v>
      </c>
      <c r="N57" s="100" t="s">
        <v>393</v>
      </c>
      <c r="O57" s="100" t="s">
        <v>393</v>
      </c>
      <c r="P57" s="100" t="s">
        <v>393</v>
      </c>
      <c r="Q57" s="100" t="s">
        <v>845</v>
      </c>
      <c r="R57" s="100" t="s">
        <v>425</v>
      </c>
      <c r="S57" s="100" t="s">
        <v>542</v>
      </c>
      <c r="T57" s="100" t="s">
        <v>822</v>
      </c>
      <c r="U57" s="100" t="s">
        <v>822</v>
      </c>
      <c r="V57" s="101" t="s">
        <v>827</v>
      </c>
      <c r="W57" s="102" t="s">
        <v>856</v>
      </c>
      <c r="X57" s="100" t="s">
        <v>402</v>
      </c>
      <c r="Y57" s="100" t="s">
        <v>402</v>
      </c>
      <c r="Z57" s="100" t="s">
        <v>822</v>
      </c>
      <c r="AA57" s="100" t="s">
        <v>847</v>
      </c>
      <c r="AB57" s="100">
        <v>1</v>
      </c>
      <c r="AC57" s="100" t="s">
        <v>403</v>
      </c>
      <c r="AD57" s="100" t="s">
        <v>822</v>
      </c>
      <c r="AE57" s="100" t="s">
        <v>848</v>
      </c>
      <c r="AF57" s="100" t="s">
        <v>849</v>
      </c>
      <c r="AG57" s="100" t="s">
        <v>850</v>
      </c>
      <c r="AH57" s="100" t="s">
        <v>822</v>
      </c>
      <c r="AI57" s="100" t="s">
        <v>822</v>
      </c>
      <c r="AJ57" s="100" t="s">
        <v>822</v>
      </c>
      <c r="AK57" s="100" t="s">
        <v>851</v>
      </c>
      <c r="AL57" s="100" t="s">
        <v>852</v>
      </c>
      <c r="AM57" s="100" t="s">
        <v>410</v>
      </c>
      <c r="AN57" s="100" t="s">
        <v>822</v>
      </c>
      <c r="AO57" s="100" t="s">
        <v>411</v>
      </c>
      <c r="AP57" s="100" t="s">
        <v>853</v>
      </c>
      <c r="AQ57" s="100" t="s">
        <v>854</v>
      </c>
      <c r="AR57" s="100" t="s">
        <v>842</v>
      </c>
      <c r="AS57" s="100" t="s">
        <v>855</v>
      </c>
      <c r="AT57" s="100" t="s">
        <v>822</v>
      </c>
      <c r="AU57" s="100" t="s">
        <v>822</v>
      </c>
    </row>
    <row r="58" spans="1:48" ht="15" x14ac:dyDescent="0.3">
      <c r="A58" s="100" t="s">
        <v>840</v>
      </c>
      <c r="B58" s="100" t="s">
        <v>821</v>
      </c>
      <c r="C58" s="100" t="s">
        <v>822</v>
      </c>
      <c r="D58" s="100" t="s">
        <v>822</v>
      </c>
      <c r="E58" s="100" t="s">
        <v>841</v>
      </c>
      <c r="F58" s="100" t="s">
        <v>842</v>
      </c>
      <c r="G58" s="100" t="s">
        <v>843</v>
      </c>
      <c r="H58" s="100" t="s">
        <v>442</v>
      </c>
      <c r="I58" s="100" t="s">
        <v>844</v>
      </c>
      <c r="J58" s="100" t="s">
        <v>393</v>
      </c>
      <c r="K58" s="100">
        <v>0</v>
      </c>
      <c r="L58" s="100" t="s">
        <v>393</v>
      </c>
      <c r="M58" s="100" t="s">
        <v>822</v>
      </c>
      <c r="N58" s="100" t="s">
        <v>393</v>
      </c>
      <c r="O58" s="100" t="s">
        <v>393</v>
      </c>
      <c r="P58" s="100" t="s">
        <v>393</v>
      </c>
      <c r="Q58" s="100" t="s">
        <v>845</v>
      </c>
      <c r="R58" s="100" t="s">
        <v>425</v>
      </c>
      <c r="S58" s="100" t="s">
        <v>542</v>
      </c>
      <c r="T58" s="100" t="s">
        <v>822</v>
      </c>
      <c r="U58" s="100" t="s">
        <v>822</v>
      </c>
      <c r="V58" s="101" t="s">
        <v>827</v>
      </c>
      <c r="W58" s="102" t="s">
        <v>857</v>
      </c>
      <c r="X58" s="100" t="s">
        <v>402</v>
      </c>
      <c r="Y58" s="100" t="s">
        <v>402</v>
      </c>
      <c r="Z58" s="100" t="s">
        <v>822</v>
      </c>
      <c r="AA58" s="100" t="s">
        <v>847</v>
      </c>
      <c r="AB58" s="100">
        <v>1</v>
      </c>
      <c r="AC58" s="100" t="s">
        <v>403</v>
      </c>
      <c r="AD58" s="100" t="s">
        <v>822</v>
      </c>
      <c r="AE58" s="100" t="s">
        <v>848</v>
      </c>
      <c r="AF58" s="100" t="s">
        <v>849</v>
      </c>
      <c r="AG58" s="100" t="s">
        <v>850</v>
      </c>
      <c r="AH58" s="100" t="s">
        <v>822</v>
      </c>
      <c r="AI58" s="100" t="s">
        <v>822</v>
      </c>
      <c r="AJ58" s="100" t="s">
        <v>822</v>
      </c>
      <c r="AK58" s="100" t="s">
        <v>851</v>
      </c>
      <c r="AL58" s="100" t="s">
        <v>852</v>
      </c>
      <c r="AM58" s="100" t="s">
        <v>410</v>
      </c>
      <c r="AN58" s="100" t="s">
        <v>822</v>
      </c>
      <c r="AO58" s="100" t="s">
        <v>411</v>
      </c>
      <c r="AP58" s="100" t="s">
        <v>853</v>
      </c>
      <c r="AQ58" s="100" t="s">
        <v>854</v>
      </c>
      <c r="AR58" s="100" t="s">
        <v>842</v>
      </c>
      <c r="AS58" s="100" t="s">
        <v>855</v>
      </c>
      <c r="AT58" s="100" t="s">
        <v>822</v>
      </c>
      <c r="AU58" s="100" t="s">
        <v>822</v>
      </c>
    </row>
    <row r="59" spans="1:48" ht="15" x14ac:dyDescent="0.3">
      <c r="A59" s="100" t="s">
        <v>985</v>
      </c>
      <c r="B59" s="100" t="s">
        <v>389</v>
      </c>
      <c r="C59" s="100" t="s">
        <v>822</v>
      </c>
      <c r="D59" s="100" t="s">
        <v>822</v>
      </c>
      <c r="E59" s="100" t="s">
        <v>880</v>
      </c>
      <c r="F59" s="100" t="s">
        <v>881</v>
      </c>
      <c r="G59" s="100" t="s">
        <v>882</v>
      </c>
      <c r="H59" s="100" t="s">
        <v>393</v>
      </c>
      <c r="I59" s="100" t="s">
        <v>882</v>
      </c>
      <c r="J59" s="100" t="s">
        <v>393</v>
      </c>
      <c r="K59" s="100">
        <v>30</v>
      </c>
      <c r="L59" s="100" t="s">
        <v>393</v>
      </c>
      <c r="M59" s="100" t="s">
        <v>883</v>
      </c>
      <c r="N59" s="100" t="s">
        <v>393</v>
      </c>
      <c r="O59" s="100" t="s">
        <v>393</v>
      </c>
      <c r="P59" s="100" t="s">
        <v>393</v>
      </c>
      <c r="Q59" s="108">
        <f>ROUND((G59+K59+P59)*4%,0)</f>
        <v>5</v>
      </c>
      <c r="R59" s="108">
        <f>ROUND((G59+K59+P59)*3%,0)</f>
        <v>4</v>
      </c>
      <c r="S59" s="108">
        <f>ROUND(G59*2%,0)</f>
        <v>2</v>
      </c>
      <c r="T59" s="100">
        <v>0</v>
      </c>
      <c r="U59" s="100" t="s">
        <v>884</v>
      </c>
      <c r="V59" s="101" t="s">
        <v>885</v>
      </c>
      <c r="W59" s="100" t="s">
        <v>536</v>
      </c>
      <c r="X59" s="100" t="s">
        <v>482</v>
      </c>
      <c r="Y59" s="100" t="s">
        <v>482</v>
      </c>
      <c r="Z59" s="100" t="s">
        <v>822</v>
      </c>
      <c r="AA59" s="100" t="s">
        <v>830</v>
      </c>
      <c r="AB59" s="100">
        <v>1</v>
      </c>
      <c r="AC59" s="100" t="s">
        <v>403</v>
      </c>
      <c r="AD59" s="100" t="s">
        <v>886</v>
      </c>
      <c r="AE59" s="100" t="s">
        <v>887</v>
      </c>
      <c r="AF59" s="100" t="s">
        <v>888</v>
      </c>
      <c r="AG59" s="100" t="s">
        <v>822</v>
      </c>
      <c r="AH59" s="100" t="s">
        <v>889</v>
      </c>
      <c r="AI59" s="100" t="s">
        <v>890</v>
      </c>
      <c r="AJ59" s="100" t="s">
        <v>822</v>
      </c>
      <c r="AK59" s="100" t="s">
        <v>891</v>
      </c>
      <c r="AL59" s="100" t="s">
        <v>892</v>
      </c>
      <c r="AM59" s="100" t="s">
        <v>410</v>
      </c>
      <c r="AN59" s="100" t="s">
        <v>822</v>
      </c>
      <c r="AO59" s="100" t="s">
        <v>836</v>
      </c>
      <c r="AP59" s="100" t="s">
        <v>893</v>
      </c>
      <c r="AQ59" s="100" t="s">
        <v>894</v>
      </c>
      <c r="AR59" s="100" t="s">
        <v>881</v>
      </c>
      <c r="AS59" s="100" t="s">
        <v>895</v>
      </c>
      <c r="AT59" s="100" t="s">
        <v>896</v>
      </c>
      <c r="AU59" s="100" t="s">
        <v>822</v>
      </c>
    </row>
    <row r="60" spans="1:48" ht="15" x14ac:dyDescent="0.3">
      <c r="A60" s="100" t="s">
        <v>879</v>
      </c>
      <c r="B60" s="100" t="s">
        <v>389</v>
      </c>
      <c r="C60" s="100" t="s">
        <v>822</v>
      </c>
      <c r="D60" s="100" t="s">
        <v>822</v>
      </c>
      <c r="E60" s="100" t="s">
        <v>880</v>
      </c>
      <c r="F60" s="100" t="s">
        <v>881</v>
      </c>
      <c r="G60" s="100" t="s">
        <v>882</v>
      </c>
      <c r="H60" s="100" t="s">
        <v>393</v>
      </c>
      <c r="I60" s="100" t="s">
        <v>882</v>
      </c>
      <c r="J60" s="100" t="s">
        <v>393</v>
      </c>
      <c r="K60" s="100">
        <v>30</v>
      </c>
      <c r="L60" s="100" t="s">
        <v>393</v>
      </c>
      <c r="M60" s="100" t="s">
        <v>883</v>
      </c>
      <c r="N60" s="100" t="s">
        <v>393</v>
      </c>
      <c r="O60" s="100" t="s">
        <v>393</v>
      </c>
      <c r="P60" s="100" t="s">
        <v>393</v>
      </c>
      <c r="Q60" s="100" t="s">
        <v>542</v>
      </c>
      <c r="R60" s="100" t="s">
        <v>396</v>
      </c>
      <c r="S60" s="100" t="s">
        <v>426</v>
      </c>
      <c r="T60" s="100">
        <v>0</v>
      </c>
      <c r="U60" s="100" t="s">
        <v>884</v>
      </c>
      <c r="V60" s="101" t="s">
        <v>885</v>
      </c>
      <c r="W60" s="100" t="s">
        <v>897</v>
      </c>
      <c r="X60" s="100" t="s">
        <v>482</v>
      </c>
      <c r="Y60" s="100" t="s">
        <v>482</v>
      </c>
      <c r="Z60" s="100" t="s">
        <v>822</v>
      </c>
      <c r="AA60" s="100" t="s">
        <v>830</v>
      </c>
      <c r="AB60" s="100">
        <v>1</v>
      </c>
      <c r="AC60" s="100" t="s">
        <v>403</v>
      </c>
      <c r="AD60" s="100" t="s">
        <v>886</v>
      </c>
      <c r="AE60" s="100" t="s">
        <v>887</v>
      </c>
      <c r="AF60" s="100" t="s">
        <v>888</v>
      </c>
      <c r="AG60" s="100" t="s">
        <v>822</v>
      </c>
      <c r="AH60" s="100" t="s">
        <v>889</v>
      </c>
      <c r="AI60" s="100" t="s">
        <v>890</v>
      </c>
      <c r="AJ60" s="100" t="s">
        <v>822</v>
      </c>
      <c r="AK60" s="100" t="s">
        <v>891</v>
      </c>
      <c r="AL60" s="100" t="s">
        <v>892</v>
      </c>
      <c r="AM60" s="100" t="s">
        <v>410</v>
      </c>
      <c r="AN60" s="100" t="s">
        <v>822</v>
      </c>
      <c r="AO60" s="100" t="s">
        <v>836</v>
      </c>
      <c r="AP60" s="100" t="s">
        <v>893</v>
      </c>
      <c r="AQ60" s="100" t="s">
        <v>894</v>
      </c>
      <c r="AR60" s="100" t="s">
        <v>881</v>
      </c>
      <c r="AS60" s="100" t="s">
        <v>895</v>
      </c>
      <c r="AT60" s="100" t="s">
        <v>896</v>
      </c>
      <c r="AU60" s="100" t="s">
        <v>822</v>
      </c>
    </row>
    <row r="61" spans="1:48" ht="15" x14ac:dyDescent="0.3">
      <c r="A61" s="100" t="s">
        <v>879</v>
      </c>
      <c r="B61" s="100" t="s">
        <v>389</v>
      </c>
      <c r="C61" s="100" t="s">
        <v>822</v>
      </c>
      <c r="D61" s="100" t="s">
        <v>822</v>
      </c>
      <c r="E61" s="100" t="s">
        <v>880</v>
      </c>
      <c r="F61" s="100" t="s">
        <v>881</v>
      </c>
      <c r="G61" s="100" t="s">
        <v>882</v>
      </c>
      <c r="H61" s="100" t="s">
        <v>393</v>
      </c>
      <c r="I61" s="100" t="s">
        <v>882</v>
      </c>
      <c r="J61" s="100" t="s">
        <v>393</v>
      </c>
      <c r="K61" s="100">
        <v>30</v>
      </c>
      <c r="L61" s="100" t="s">
        <v>393</v>
      </c>
      <c r="M61" s="100" t="s">
        <v>883</v>
      </c>
      <c r="N61" s="100" t="s">
        <v>393</v>
      </c>
      <c r="O61" s="100" t="s">
        <v>393</v>
      </c>
      <c r="P61" s="100" t="s">
        <v>393</v>
      </c>
      <c r="Q61" s="100" t="s">
        <v>542</v>
      </c>
      <c r="R61" s="100" t="s">
        <v>396</v>
      </c>
      <c r="S61" s="100" t="s">
        <v>426</v>
      </c>
      <c r="T61" s="100">
        <v>0</v>
      </c>
      <c r="U61" s="100" t="s">
        <v>884</v>
      </c>
      <c r="V61" s="101" t="s">
        <v>885</v>
      </c>
      <c r="W61" s="100" t="s">
        <v>898</v>
      </c>
      <c r="X61" s="100" t="s">
        <v>482</v>
      </c>
      <c r="Y61" s="100" t="s">
        <v>482</v>
      </c>
      <c r="Z61" s="100" t="s">
        <v>822</v>
      </c>
      <c r="AA61" s="100" t="s">
        <v>830</v>
      </c>
      <c r="AB61" s="100">
        <v>1</v>
      </c>
      <c r="AC61" s="100" t="s">
        <v>403</v>
      </c>
      <c r="AD61" s="100" t="s">
        <v>886</v>
      </c>
      <c r="AE61" s="100" t="s">
        <v>887</v>
      </c>
      <c r="AF61" s="100" t="s">
        <v>888</v>
      </c>
      <c r="AG61" s="100" t="s">
        <v>822</v>
      </c>
      <c r="AH61" s="100" t="s">
        <v>889</v>
      </c>
      <c r="AI61" s="100" t="s">
        <v>890</v>
      </c>
      <c r="AJ61" s="100" t="s">
        <v>822</v>
      </c>
      <c r="AK61" s="100" t="s">
        <v>891</v>
      </c>
      <c r="AL61" s="100" t="s">
        <v>892</v>
      </c>
      <c r="AM61" s="100" t="s">
        <v>410</v>
      </c>
      <c r="AN61" s="100" t="s">
        <v>822</v>
      </c>
      <c r="AO61" s="100" t="s">
        <v>836</v>
      </c>
      <c r="AP61" s="100" t="s">
        <v>893</v>
      </c>
      <c r="AQ61" s="100" t="s">
        <v>894</v>
      </c>
      <c r="AR61" s="100" t="s">
        <v>881</v>
      </c>
      <c r="AS61" s="100" t="s">
        <v>895</v>
      </c>
      <c r="AT61" s="100" t="s">
        <v>896</v>
      </c>
      <c r="AU61" s="100" t="s">
        <v>822</v>
      </c>
    </row>
    <row r="62" spans="1:48" ht="15" x14ac:dyDescent="0.3">
      <c r="A62" s="100" t="s">
        <v>899</v>
      </c>
      <c r="B62" s="100" t="s">
        <v>389</v>
      </c>
      <c r="C62" s="100" t="s">
        <v>822</v>
      </c>
      <c r="D62" s="100" t="s">
        <v>822</v>
      </c>
      <c r="E62" s="100" t="s">
        <v>900</v>
      </c>
      <c r="F62" s="100" t="s">
        <v>901</v>
      </c>
      <c r="G62" s="100" t="s">
        <v>902</v>
      </c>
      <c r="H62" s="100" t="s">
        <v>393</v>
      </c>
      <c r="I62" s="100" t="s">
        <v>902</v>
      </c>
      <c r="J62" s="100" t="s">
        <v>393</v>
      </c>
      <c r="K62" s="100">
        <v>153</v>
      </c>
      <c r="L62" s="100" t="s">
        <v>393</v>
      </c>
      <c r="M62" s="100" t="s">
        <v>903</v>
      </c>
      <c r="N62" s="100" t="s">
        <v>904</v>
      </c>
      <c r="O62" s="100" t="s">
        <v>393</v>
      </c>
      <c r="P62" s="100" t="s">
        <v>905</v>
      </c>
      <c r="Q62" s="108">
        <f>ROUND((G62+K62+P62)*4%,0)</f>
        <v>27</v>
      </c>
      <c r="R62" s="108">
        <f>ROUND((G62+K62+P62)*3%,0)</f>
        <v>20</v>
      </c>
      <c r="S62" s="108">
        <f>ROUND(G62*2%,0)</f>
        <v>9</v>
      </c>
      <c r="T62" s="100">
        <v>0</v>
      </c>
      <c r="U62" s="100" t="s">
        <v>884</v>
      </c>
      <c r="V62" s="101" t="s">
        <v>885</v>
      </c>
      <c r="W62" s="100" t="s">
        <v>906</v>
      </c>
      <c r="X62" s="100" t="s">
        <v>482</v>
      </c>
      <c r="Y62" s="100" t="s">
        <v>907</v>
      </c>
      <c r="Z62" s="100" t="s">
        <v>822</v>
      </c>
      <c r="AA62" s="100" t="s">
        <v>830</v>
      </c>
      <c r="AB62" s="100">
        <v>10</v>
      </c>
      <c r="AC62" s="100" t="s">
        <v>447</v>
      </c>
      <c r="AD62" s="100" t="s">
        <v>908</v>
      </c>
      <c r="AE62" s="100" t="s">
        <v>831</v>
      </c>
      <c r="AF62" s="100" t="s">
        <v>909</v>
      </c>
      <c r="AG62" s="100" t="s">
        <v>910</v>
      </c>
      <c r="AH62" s="100" t="s">
        <v>822</v>
      </c>
      <c r="AI62" s="100" t="s">
        <v>822</v>
      </c>
      <c r="AJ62" s="100" t="s">
        <v>822</v>
      </c>
      <c r="AK62" s="100" t="s">
        <v>911</v>
      </c>
      <c r="AL62" s="100" t="s">
        <v>409</v>
      </c>
      <c r="AM62" s="100" t="s">
        <v>410</v>
      </c>
      <c r="AN62" s="100" t="s">
        <v>822</v>
      </c>
      <c r="AO62" s="100" t="s">
        <v>411</v>
      </c>
      <c r="AP62" s="100" t="s">
        <v>912</v>
      </c>
      <c r="AQ62" s="100" t="s">
        <v>913</v>
      </c>
      <c r="AR62" s="100" t="s">
        <v>901</v>
      </c>
      <c r="AS62" s="100" t="s">
        <v>914</v>
      </c>
      <c r="AT62" s="100" t="s">
        <v>915</v>
      </c>
      <c r="AU62" s="100" t="s">
        <v>822</v>
      </c>
    </row>
    <row r="63" spans="1:48" ht="15" x14ac:dyDescent="0.3">
      <c r="A63" s="100" t="s">
        <v>899</v>
      </c>
      <c r="B63" s="100" t="s">
        <v>389</v>
      </c>
      <c r="C63" s="100" t="s">
        <v>822</v>
      </c>
      <c r="D63" s="100" t="s">
        <v>822</v>
      </c>
      <c r="E63" s="100" t="s">
        <v>900</v>
      </c>
      <c r="F63" s="100" t="s">
        <v>901</v>
      </c>
      <c r="G63" s="100" t="s">
        <v>902</v>
      </c>
      <c r="H63" s="100" t="s">
        <v>393</v>
      </c>
      <c r="I63" s="100" t="s">
        <v>902</v>
      </c>
      <c r="J63" s="100" t="s">
        <v>393</v>
      </c>
      <c r="K63" s="100">
        <v>153</v>
      </c>
      <c r="L63" s="100" t="s">
        <v>393</v>
      </c>
      <c r="M63" s="100" t="s">
        <v>903</v>
      </c>
      <c r="N63" s="100" t="s">
        <v>904</v>
      </c>
      <c r="O63" s="100" t="s">
        <v>393</v>
      </c>
      <c r="P63" s="100" t="s">
        <v>905</v>
      </c>
      <c r="Q63" s="100" t="s">
        <v>916</v>
      </c>
      <c r="R63" s="100" t="s">
        <v>584</v>
      </c>
      <c r="S63" s="100" t="s">
        <v>917</v>
      </c>
      <c r="T63" s="100">
        <v>0</v>
      </c>
      <c r="U63" s="100" t="s">
        <v>884</v>
      </c>
      <c r="V63" s="101" t="s">
        <v>885</v>
      </c>
      <c r="W63" s="100" t="s">
        <v>906</v>
      </c>
      <c r="X63" s="100" t="s">
        <v>482</v>
      </c>
      <c r="Y63" s="100" t="s">
        <v>482</v>
      </c>
      <c r="Z63" s="100" t="s">
        <v>822</v>
      </c>
      <c r="AA63" s="100" t="s">
        <v>830</v>
      </c>
      <c r="AB63" s="100">
        <v>7</v>
      </c>
      <c r="AC63" s="100" t="s">
        <v>403</v>
      </c>
      <c r="AD63" s="100" t="s">
        <v>886</v>
      </c>
      <c r="AE63" s="100" t="s">
        <v>831</v>
      </c>
      <c r="AF63" s="100" t="s">
        <v>909</v>
      </c>
      <c r="AG63" s="100" t="s">
        <v>910</v>
      </c>
      <c r="AH63" s="100" t="s">
        <v>822</v>
      </c>
      <c r="AI63" s="100" t="s">
        <v>822</v>
      </c>
      <c r="AJ63" s="100" t="s">
        <v>822</v>
      </c>
      <c r="AK63" s="100" t="s">
        <v>911</v>
      </c>
      <c r="AL63" s="100" t="s">
        <v>409</v>
      </c>
      <c r="AM63" s="100" t="s">
        <v>410</v>
      </c>
      <c r="AN63" s="100" t="s">
        <v>822</v>
      </c>
      <c r="AO63" s="100" t="s">
        <v>411</v>
      </c>
      <c r="AP63" s="100" t="s">
        <v>912</v>
      </c>
      <c r="AQ63" s="100" t="s">
        <v>913</v>
      </c>
      <c r="AR63" s="100" t="s">
        <v>901</v>
      </c>
      <c r="AS63" s="100" t="s">
        <v>914</v>
      </c>
      <c r="AT63" s="100" t="s">
        <v>915</v>
      </c>
      <c r="AU63" s="100" t="s">
        <v>822</v>
      </c>
    </row>
    <row r="64" spans="1:48" ht="15" x14ac:dyDescent="0.3">
      <c r="A64" s="112" t="s">
        <v>1020</v>
      </c>
      <c r="B64" s="109" t="s">
        <v>389</v>
      </c>
      <c r="C64" s="109" t="s">
        <v>822</v>
      </c>
      <c r="D64" s="109" t="s">
        <v>822</v>
      </c>
      <c r="E64" s="109" t="s">
        <v>919</v>
      </c>
      <c r="F64" s="109" t="s">
        <v>920</v>
      </c>
      <c r="G64" s="109" t="s">
        <v>441</v>
      </c>
      <c r="H64" s="109" t="s">
        <v>393</v>
      </c>
      <c r="I64" s="109" t="s">
        <v>441</v>
      </c>
      <c r="J64" s="109" t="s">
        <v>393</v>
      </c>
      <c r="K64" s="109">
        <v>0</v>
      </c>
      <c r="L64" s="109" t="s">
        <v>393</v>
      </c>
      <c r="M64" s="109" t="s">
        <v>921</v>
      </c>
      <c r="N64" s="109" t="s">
        <v>565</v>
      </c>
      <c r="O64" s="109" t="s">
        <v>393</v>
      </c>
      <c r="P64" s="109" t="s">
        <v>393</v>
      </c>
      <c r="Q64" s="108">
        <f>ROUND((G64+K64+P64)*4%,0)</f>
        <v>13</v>
      </c>
      <c r="R64" s="108">
        <f>ROUND((G64+K64+P64)*3%,0)</f>
        <v>10</v>
      </c>
      <c r="S64" s="108">
        <f>ROUND(G64*2%,0)</f>
        <v>6</v>
      </c>
      <c r="T64" s="109">
        <v>0</v>
      </c>
      <c r="U64" s="109" t="s">
        <v>884</v>
      </c>
      <c r="V64" s="110" t="s">
        <v>922</v>
      </c>
      <c r="W64" s="111" t="s">
        <v>923</v>
      </c>
      <c r="X64" s="109" t="s">
        <v>924</v>
      </c>
      <c r="Y64" s="109" t="s">
        <v>924</v>
      </c>
      <c r="Z64" s="109" t="s">
        <v>822</v>
      </c>
      <c r="AA64" s="109"/>
      <c r="AB64" s="109">
        <v>1</v>
      </c>
      <c r="AC64" s="109" t="s">
        <v>403</v>
      </c>
      <c r="AD64" s="109" t="s">
        <v>886</v>
      </c>
      <c r="AE64" s="109" t="s">
        <v>925</v>
      </c>
      <c r="AF64" s="109" t="s">
        <v>926</v>
      </c>
      <c r="AG64" s="109" t="s">
        <v>927</v>
      </c>
      <c r="AH64" s="109" t="s">
        <v>822</v>
      </c>
      <c r="AI64" s="109" t="s">
        <v>822</v>
      </c>
      <c r="AJ64" s="109" t="s">
        <v>822</v>
      </c>
      <c r="AK64" s="109" t="s">
        <v>928</v>
      </c>
      <c r="AL64" s="109" t="s">
        <v>499</v>
      </c>
      <c r="AM64" s="109" t="s">
        <v>410</v>
      </c>
      <c r="AN64" s="109" t="s">
        <v>822</v>
      </c>
      <c r="AO64" s="109" t="s">
        <v>836</v>
      </c>
      <c r="AP64" s="109" t="s">
        <v>929</v>
      </c>
      <c r="AQ64" s="109" t="s">
        <v>930</v>
      </c>
      <c r="AR64" s="109" t="s">
        <v>920</v>
      </c>
      <c r="AS64" s="109" t="s">
        <v>931</v>
      </c>
      <c r="AT64" s="109" t="s">
        <v>932</v>
      </c>
      <c r="AU64" s="109" t="s">
        <v>822</v>
      </c>
    </row>
    <row r="65" spans="1:47" ht="15" x14ac:dyDescent="0.3">
      <c r="A65" s="112" t="s">
        <v>918</v>
      </c>
      <c r="B65" s="109" t="s">
        <v>389</v>
      </c>
      <c r="C65" s="109" t="s">
        <v>822</v>
      </c>
      <c r="D65" s="109" t="s">
        <v>822</v>
      </c>
      <c r="E65" s="109" t="s">
        <v>919</v>
      </c>
      <c r="F65" s="109" t="s">
        <v>920</v>
      </c>
      <c r="G65" s="109" t="s">
        <v>441</v>
      </c>
      <c r="H65" s="109" t="s">
        <v>393</v>
      </c>
      <c r="I65" s="109" t="s">
        <v>441</v>
      </c>
      <c r="J65" s="109" t="s">
        <v>393</v>
      </c>
      <c r="K65" s="109">
        <v>0</v>
      </c>
      <c r="L65" s="109" t="s">
        <v>393</v>
      </c>
      <c r="M65" s="109" t="s">
        <v>921</v>
      </c>
      <c r="N65" s="109" t="s">
        <v>565</v>
      </c>
      <c r="O65" s="109" t="s">
        <v>393</v>
      </c>
      <c r="P65" s="109" t="s">
        <v>393</v>
      </c>
      <c r="Q65" s="109" t="s">
        <v>489</v>
      </c>
      <c r="R65" s="109" t="s">
        <v>444</v>
      </c>
      <c r="S65" s="109" t="s">
        <v>845</v>
      </c>
      <c r="T65" s="109">
        <v>0</v>
      </c>
      <c r="U65" s="109" t="s">
        <v>884</v>
      </c>
      <c r="V65" s="101" t="s">
        <v>885</v>
      </c>
      <c r="W65" s="109" t="s">
        <v>933</v>
      </c>
      <c r="X65" s="109" t="s">
        <v>482</v>
      </c>
      <c r="Y65" s="109" t="s">
        <v>482</v>
      </c>
      <c r="Z65" s="109" t="s">
        <v>822</v>
      </c>
      <c r="AA65" s="109" t="s">
        <v>830</v>
      </c>
      <c r="AB65" s="109">
        <v>1</v>
      </c>
      <c r="AC65" s="109" t="s">
        <v>403</v>
      </c>
      <c r="AD65" s="109" t="s">
        <v>886</v>
      </c>
      <c r="AE65" s="109" t="s">
        <v>925</v>
      </c>
      <c r="AF65" s="109" t="s">
        <v>926</v>
      </c>
      <c r="AG65" s="109" t="s">
        <v>927</v>
      </c>
      <c r="AH65" s="109" t="s">
        <v>822</v>
      </c>
      <c r="AI65" s="109" t="s">
        <v>822</v>
      </c>
      <c r="AJ65" s="109" t="s">
        <v>822</v>
      </c>
      <c r="AK65" s="109" t="s">
        <v>928</v>
      </c>
      <c r="AL65" s="109" t="s">
        <v>499</v>
      </c>
      <c r="AM65" s="109" t="s">
        <v>410</v>
      </c>
      <c r="AN65" s="109" t="s">
        <v>822</v>
      </c>
      <c r="AO65" s="109" t="s">
        <v>836</v>
      </c>
      <c r="AP65" s="109" t="s">
        <v>929</v>
      </c>
      <c r="AQ65" s="109" t="s">
        <v>930</v>
      </c>
      <c r="AR65" s="109" t="s">
        <v>920</v>
      </c>
      <c r="AS65" s="109" t="s">
        <v>931</v>
      </c>
      <c r="AT65" s="109" t="s">
        <v>932</v>
      </c>
      <c r="AU65" s="109" t="s">
        <v>822</v>
      </c>
    </row>
    <row r="66" spans="1:47" ht="15" x14ac:dyDescent="0.3">
      <c r="A66" s="112" t="s">
        <v>918</v>
      </c>
      <c r="B66" s="109" t="s">
        <v>389</v>
      </c>
      <c r="C66" s="109" t="s">
        <v>822</v>
      </c>
      <c r="D66" s="109" t="s">
        <v>822</v>
      </c>
      <c r="E66" s="109" t="s">
        <v>919</v>
      </c>
      <c r="F66" s="109" t="s">
        <v>920</v>
      </c>
      <c r="G66" s="109" t="s">
        <v>441</v>
      </c>
      <c r="H66" s="109">
        <v>0</v>
      </c>
      <c r="I66" s="109" t="s">
        <v>441</v>
      </c>
      <c r="J66" s="109" t="s">
        <v>393</v>
      </c>
      <c r="K66" s="109">
        <v>0</v>
      </c>
      <c r="L66" s="109" t="s">
        <v>393</v>
      </c>
      <c r="M66" s="109" t="s">
        <v>921</v>
      </c>
      <c r="N66" s="109" t="s">
        <v>565</v>
      </c>
      <c r="O66" s="109" t="s">
        <v>393</v>
      </c>
      <c r="P66" s="109" t="s">
        <v>393</v>
      </c>
      <c r="Q66" s="109" t="s">
        <v>489</v>
      </c>
      <c r="R66" s="109" t="s">
        <v>444</v>
      </c>
      <c r="S66" s="109" t="s">
        <v>845</v>
      </c>
      <c r="T66" s="109">
        <v>0</v>
      </c>
      <c r="U66" s="109" t="s">
        <v>884</v>
      </c>
      <c r="V66" s="101" t="s">
        <v>885</v>
      </c>
      <c r="W66" s="109" t="s">
        <v>934</v>
      </c>
      <c r="X66" s="109" t="s">
        <v>482</v>
      </c>
      <c r="Y66" s="109" t="s">
        <v>482</v>
      </c>
      <c r="Z66" s="109" t="s">
        <v>822</v>
      </c>
      <c r="AA66" s="109" t="s">
        <v>830</v>
      </c>
      <c r="AB66" s="109">
        <v>1</v>
      </c>
      <c r="AC66" s="109" t="s">
        <v>403</v>
      </c>
      <c r="AD66" s="109" t="s">
        <v>886</v>
      </c>
      <c r="AE66" s="109" t="s">
        <v>925</v>
      </c>
      <c r="AF66" s="109" t="s">
        <v>926</v>
      </c>
      <c r="AG66" s="109" t="s">
        <v>927</v>
      </c>
      <c r="AH66" s="109" t="s">
        <v>822</v>
      </c>
      <c r="AI66" s="109" t="s">
        <v>822</v>
      </c>
      <c r="AJ66" s="109" t="s">
        <v>822</v>
      </c>
      <c r="AK66" s="109" t="s">
        <v>928</v>
      </c>
      <c r="AL66" s="109" t="s">
        <v>499</v>
      </c>
      <c r="AM66" s="109" t="s">
        <v>410</v>
      </c>
      <c r="AN66" s="109" t="s">
        <v>822</v>
      </c>
      <c r="AO66" s="109" t="s">
        <v>836</v>
      </c>
      <c r="AP66" s="109" t="s">
        <v>929</v>
      </c>
      <c r="AQ66" s="109" t="s">
        <v>930</v>
      </c>
      <c r="AR66" s="109" t="s">
        <v>920</v>
      </c>
      <c r="AS66" s="109" t="s">
        <v>931</v>
      </c>
      <c r="AT66" s="109" t="s">
        <v>932</v>
      </c>
      <c r="AU66" s="109" t="s">
        <v>822</v>
      </c>
    </row>
    <row r="67" spans="1:47" ht="15" x14ac:dyDescent="0.3">
      <c r="A67" s="112" t="s">
        <v>918</v>
      </c>
      <c r="B67" s="109" t="s">
        <v>389</v>
      </c>
      <c r="C67" s="109" t="s">
        <v>822</v>
      </c>
      <c r="D67" s="109" t="s">
        <v>822</v>
      </c>
      <c r="E67" s="109" t="s">
        <v>919</v>
      </c>
      <c r="F67" s="109" t="s">
        <v>920</v>
      </c>
      <c r="G67" s="109" t="s">
        <v>441</v>
      </c>
      <c r="H67" s="109" t="s">
        <v>393</v>
      </c>
      <c r="I67" s="109" t="s">
        <v>441</v>
      </c>
      <c r="J67" s="109" t="s">
        <v>393</v>
      </c>
      <c r="K67" s="109">
        <v>0</v>
      </c>
      <c r="L67" s="109" t="s">
        <v>393</v>
      </c>
      <c r="M67" s="109" t="s">
        <v>921</v>
      </c>
      <c r="N67" s="109" t="s">
        <v>565</v>
      </c>
      <c r="O67" s="109" t="s">
        <v>393</v>
      </c>
      <c r="P67" s="109" t="s">
        <v>393</v>
      </c>
      <c r="Q67" s="109" t="s">
        <v>489</v>
      </c>
      <c r="R67" s="109" t="s">
        <v>444</v>
      </c>
      <c r="S67" s="109" t="s">
        <v>845</v>
      </c>
      <c r="T67" s="109">
        <v>0</v>
      </c>
      <c r="U67" s="109" t="s">
        <v>884</v>
      </c>
      <c r="V67" s="110" t="s">
        <v>935</v>
      </c>
      <c r="W67" s="111" t="s">
        <v>936</v>
      </c>
      <c r="X67" s="109" t="s">
        <v>402</v>
      </c>
      <c r="Y67" s="109" t="s">
        <v>402</v>
      </c>
      <c r="Z67" s="109" t="s">
        <v>822</v>
      </c>
      <c r="AA67" s="109" t="s">
        <v>830</v>
      </c>
      <c r="AB67" s="109">
        <v>1</v>
      </c>
      <c r="AC67" s="109" t="s">
        <v>403</v>
      </c>
      <c r="AD67" s="109" t="s">
        <v>886</v>
      </c>
      <c r="AE67" s="109" t="s">
        <v>925</v>
      </c>
      <c r="AF67" s="109" t="s">
        <v>926</v>
      </c>
      <c r="AG67" s="109" t="s">
        <v>927</v>
      </c>
      <c r="AH67" s="109" t="s">
        <v>822</v>
      </c>
      <c r="AI67" s="109" t="s">
        <v>822</v>
      </c>
      <c r="AJ67" s="109" t="s">
        <v>822</v>
      </c>
      <c r="AK67" s="109" t="s">
        <v>928</v>
      </c>
      <c r="AL67" s="109" t="s">
        <v>499</v>
      </c>
      <c r="AM67" s="109" t="s">
        <v>410</v>
      </c>
      <c r="AN67" s="109" t="s">
        <v>822</v>
      </c>
      <c r="AO67" s="109" t="s">
        <v>836</v>
      </c>
      <c r="AP67" s="109" t="s">
        <v>929</v>
      </c>
      <c r="AQ67" s="109" t="s">
        <v>930</v>
      </c>
      <c r="AR67" s="109" t="s">
        <v>920</v>
      </c>
      <c r="AS67" s="109" t="s">
        <v>931</v>
      </c>
      <c r="AT67" s="109" t="s">
        <v>932</v>
      </c>
      <c r="AU67" s="109" t="s">
        <v>822</v>
      </c>
    </row>
    <row r="68" spans="1:47" ht="15" x14ac:dyDescent="0.3">
      <c r="A68" s="100" t="s">
        <v>937</v>
      </c>
      <c r="B68" s="100" t="s">
        <v>389</v>
      </c>
      <c r="C68" s="100" t="s">
        <v>822</v>
      </c>
      <c r="D68" s="100" t="s">
        <v>822</v>
      </c>
      <c r="E68" s="100" t="s">
        <v>938</v>
      </c>
      <c r="F68" s="100" t="s">
        <v>939</v>
      </c>
      <c r="G68" s="100" t="s">
        <v>940</v>
      </c>
      <c r="H68" s="100" t="s">
        <v>393</v>
      </c>
      <c r="I68" s="100" t="s">
        <v>940</v>
      </c>
      <c r="J68" s="100" t="s">
        <v>393</v>
      </c>
      <c r="K68" s="100">
        <v>0</v>
      </c>
      <c r="L68" s="100" t="s">
        <v>393</v>
      </c>
      <c r="M68" s="100" t="s">
        <v>941</v>
      </c>
      <c r="N68" s="100" t="s">
        <v>565</v>
      </c>
      <c r="O68" s="100" t="s">
        <v>393</v>
      </c>
      <c r="P68" s="100" t="s">
        <v>393</v>
      </c>
      <c r="Q68" s="108">
        <f>ROUND((G68+K68+P68)*4%,0)</f>
        <v>25</v>
      </c>
      <c r="R68" s="108">
        <f>ROUND((G68+K68+P68)*3%,0)</f>
        <v>18</v>
      </c>
      <c r="S68" s="108">
        <f>ROUND(G68*2%,0)</f>
        <v>12</v>
      </c>
      <c r="T68" s="100">
        <v>0</v>
      </c>
      <c r="U68" s="100" t="s">
        <v>884</v>
      </c>
      <c r="V68" s="101" t="s">
        <v>942</v>
      </c>
      <c r="W68" s="100" t="s">
        <v>934</v>
      </c>
      <c r="X68" s="100" t="s">
        <v>402</v>
      </c>
      <c r="Y68" s="100" t="s">
        <v>943</v>
      </c>
      <c r="Z68" s="100" t="s">
        <v>822</v>
      </c>
      <c r="AA68" s="100" t="s">
        <v>847</v>
      </c>
      <c r="AB68" s="100">
        <v>1</v>
      </c>
      <c r="AC68" s="100" t="s">
        <v>447</v>
      </c>
      <c r="AD68" s="100" t="s">
        <v>944</v>
      </c>
      <c r="AE68" s="100" t="s">
        <v>945</v>
      </c>
      <c r="AF68" s="100" t="s">
        <v>946</v>
      </c>
      <c r="AG68" s="100" t="s">
        <v>947</v>
      </c>
      <c r="AH68" s="100" t="s">
        <v>822</v>
      </c>
      <c r="AI68" s="100" t="s">
        <v>822</v>
      </c>
      <c r="AJ68" s="100" t="s">
        <v>822</v>
      </c>
      <c r="AK68" s="100" t="s">
        <v>948</v>
      </c>
      <c r="AL68" s="100" t="s">
        <v>453</v>
      </c>
      <c r="AM68" s="100" t="s">
        <v>410</v>
      </c>
      <c r="AN68" s="100" t="s">
        <v>822</v>
      </c>
      <c r="AO68" s="100" t="s">
        <v>836</v>
      </c>
      <c r="AP68" s="100" t="s">
        <v>949</v>
      </c>
      <c r="AQ68" s="100" t="s">
        <v>950</v>
      </c>
      <c r="AR68" s="100" t="s">
        <v>939</v>
      </c>
      <c r="AS68" s="100" t="s">
        <v>951</v>
      </c>
      <c r="AT68" s="100" t="s">
        <v>952</v>
      </c>
      <c r="AU68" s="100" t="s">
        <v>822</v>
      </c>
    </row>
    <row r="69" spans="1:47" ht="15" x14ac:dyDescent="0.3">
      <c r="A69" s="100" t="s">
        <v>937</v>
      </c>
      <c r="B69" s="100" t="s">
        <v>389</v>
      </c>
      <c r="C69" s="100" t="s">
        <v>822</v>
      </c>
      <c r="D69" s="100" t="s">
        <v>822</v>
      </c>
      <c r="E69" s="100" t="s">
        <v>938</v>
      </c>
      <c r="F69" s="100" t="s">
        <v>939</v>
      </c>
      <c r="G69" s="100" t="s">
        <v>940</v>
      </c>
      <c r="H69" s="100" t="s">
        <v>393</v>
      </c>
      <c r="I69" s="100" t="s">
        <v>940</v>
      </c>
      <c r="J69" s="100" t="s">
        <v>393</v>
      </c>
      <c r="K69" s="100">
        <v>0</v>
      </c>
      <c r="L69" s="100" t="s">
        <v>393</v>
      </c>
      <c r="M69" s="100" t="s">
        <v>941</v>
      </c>
      <c r="N69" s="100" t="s">
        <v>565</v>
      </c>
      <c r="O69" s="100" t="s">
        <v>393</v>
      </c>
      <c r="P69" s="100" t="s">
        <v>393</v>
      </c>
      <c r="Q69" s="100" t="s">
        <v>953</v>
      </c>
      <c r="R69" s="100" t="s">
        <v>954</v>
      </c>
      <c r="S69" s="100" t="s">
        <v>425</v>
      </c>
      <c r="T69" s="100">
        <v>0</v>
      </c>
      <c r="U69" s="100" t="s">
        <v>884</v>
      </c>
      <c r="V69" s="101" t="s">
        <v>942</v>
      </c>
      <c r="W69" s="100" t="s">
        <v>955</v>
      </c>
      <c r="X69" s="100" t="s">
        <v>402</v>
      </c>
      <c r="Y69" s="100" t="s">
        <v>943</v>
      </c>
      <c r="Z69" s="100" t="s">
        <v>822</v>
      </c>
      <c r="AA69" s="100" t="s">
        <v>847</v>
      </c>
      <c r="AB69" s="100">
        <v>1</v>
      </c>
      <c r="AC69" s="100" t="s">
        <v>447</v>
      </c>
      <c r="AD69" s="100" t="s">
        <v>944</v>
      </c>
      <c r="AE69" s="100" t="s">
        <v>945</v>
      </c>
      <c r="AF69" s="100" t="s">
        <v>946</v>
      </c>
      <c r="AG69" s="100" t="s">
        <v>947</v>
      </c>
      <c r="AH69" s="100" t="s">
        <v>822</v>
      </c>
      <c r="AI69" s="100" t="s">
        <v>822</v>
      </c>
      <c r="AJ69" s="100" t="s">
        <v>822</v>
      </c>
      <c r="AK69" s="100" t="s">
        <v>948</v>
      </c>
      <c r="AL69" s="100" t="s">
        <v>453</v>
      </c>
      <c r="AM69" s="100" t="s">
        <v>410</v>
      </c>
      <c r="AN69" s="100" t="s">
        <v>822</v>
      </c>
      <c r="AO69" s="100" t="s">
        <v>836</v>
      </c>
      <c r="AP69" s="100" t="s">
        <v>949</v>
      </c>
      <c r="AQ69" s="100" t="s">
        <v>950</v>
      </c>
      <c r="AR69" s="100" t="s">
        <v>939</v>
      </c>
      <c r="AS69" s="100" t="s">
        <v>951</v>
      </c>
      <c r="AT69" s="100" t="s">
        <v>952</v>
      </c>
      <c r="AU69" s="100" t="s">
        <v>822</v>
      </c>
    </row>
    <row r="70" spans="1:47" ht="15" x14ac:dyDescent="0.3">
      <c r="A70" s="100" t="s">
        <v>937</v>
      </c>
      <c r="B70" s="100" t="s">
        <v>389</v>
      </c>
      <c r="C70" s="100" t="s">
        <v>822</v>
      </c>
      <c r="D70" s="100" t="s">
        <v>822</v>
      </c>
      <c r="E70" s="100" t="s">
        <v>938</v>
      </c>
      <c r="F70" s="100" t="s">
        <v>939</v>
      </c>
      <c r="G70" s="100" t="s">
        <v>940</v>
      </c>
      <c r="H70" s="100" t="s">
        <v>393</v>
      </c>
      <c r="I70" s="100" t="s">
        <v>940</v>
      </c>
      <c r="J70" s="100" t="s">
        <v>393</v>
      </c>
      <c r="K70" s="100">
        <v>0</v>
      </c>
      <c r="L70" s="100" t="s">
        <v>393</v>
      </c>
      <c r="M70" s="100" t="s">
        <v>941</v>
      </c>
      <c r="N70" s="100" t="s">
        <v>565</v>
      </c>
      <c r="O70" s="100" t="s">
        <v>393</v>
      </c>
      <c r="P70" s="100" t="s">
        <v>393</v>
      </c>
      <c r="Q70" s="100" t="s">
        <v>953</v>
      </c>
      <c r="R70" s="100" t="s">
        <v>954</v>
      </c>
      <c r="S70" s="100" t="s">
        <v>425</v>
      </c>
      <c r="T70" s="100">
        <v>0</v>
      </c>
      <c r="U70" s="100" t="s">
        <v>884</v>
      </c>
      <c r="V70" s="101" t="s">
        <v>942</v>
      </c>
      <c r="W70" s="100" t="s">
        <v>956</v>
      </c>
      <c r="X70" s="100" t="s">
        <v>402</v>
      </c>
      <c r="Y70" s="100" t="s">
        <v>943</v>
      </c>
      <c r="Z70" s="100" t="s">
        <v>822</v>
      </c>
      <c r="AA70" s="100" t="s">
        <v>847</v>
      </c>
      <c r="AB70" s="100">
        <v>1</v>
      </c>
      <c r="AC70" s="100" t="s">
        <v>447</v>
      </c>
      <c r="AD70" s="100" t="s">
        <v>944</v>
      </c>
      <c r="AE70" s="100" t="s">
        <v>945</v>
      </c>
      <c r="AF70" s="100" t="s">
        <v>946</v>
      </c>
      <c r="AG70" s="100" t="s">
        <v>947</v>
      </c>
      <c r="AH70" s="100" t="s">
        <v>822</v>
      </c>
      <c r="AI70" s="100" t="s">
        <v>822</v>
      </c>
      <c r="AJ70" s="100" t="s">
        <v>822</v>
      </c>
      <c r="AK70" s="100" t="s">
        <v>948</v>
      </c>
      <c r="AL70" s="100" t="s">
        <v>453</v>
      </c>
      <c r="AM70" s="100" t="s">
        <v>410</v>
      </c>
      <c r="AN70" s="100" t="s">
        <v>822</v>
      </c>
      <c r="AO70" s="100" t="s">
        <v>836</v>
      </c>
      <c r="AP70" s="100" t="s">
        <v>949</v>
      </c>
      <c r="AQ70" s="100" t="s">
        <v>950</v>
      </c>
      <c r="AR70" s="100" t="s">
        <v>939</v>
      </c>
      <c r="AS70" s="100" t="s">
        <v>951</v>
      </c>
      <c r="AT70" s="100" t="s">
        <v>952</v>
      </c>
      <c r="AU70" s="100" t="s">
        <v>822</v>
      </c>
    </row>
    <row r="71" spans="1:47" ht="15" x14ac:dyDescent="0.3">
      <c r="A71" s="100" t="s">
        <v>937</v>
      </c>
      <c r="B71" s="100" t="s">
        <v>389</v>
      </c>
      <c r="C71" s="100" t="s">
        <v>822</v>
      </c>
      <c r="D71" s="100" t="s">
        <v>822</v>
      </c>
      <c r="E71" s="100" t="s">
        <v>938</v>
      </c>
      <c r="F71" s="100" t="s">
        <v>939</v>
      </c>
      <c r="G71" s="100" t="s">
        <v>940</v>
      </c>
      <c r="H71" s="100" t="s">
        <v>393</v>
      </c>
      <c r="I71" s="100" t="s">
        <v>940</v>
      </c>
      <c r="J71" s="100" t="s">
        <v>393</v>
      </c>
      <c r="K71" s="100">
        <v>0</v>
      </c>
      <c r="L71" s="100" t="s">
        <v>393</v>
      </c>
      <c r="M71" s="100" t="s">
        <v>941</v>
      </c>
      <c r="N71" s="100" t="s">
        <v>565</v>
      </c>
      <c r="O71" s="100" t="s">
        <v>393</v>
      </c>
      <c r="P71" s="100" t="s">
        <v>393</v>
      </c>
      <c r="Q71" s="100" t="s">
        <v>953</v>
      </c>
      <c r="R71" s="100" t="s">
        <v>954</v>
      </c>
      <c r="S71" s="100" t="s">
        <v>425</v>
      </c>
      <c r="T71" s="100">
        <v>0</v>
      </c>
      <c r="U71" s="100" t="s">
        <v>884</v>
      </c>
      <c r="V71" s="101" t="s">
        <v>942</v>
      </c>
      <c r="W71" s="100" t="s">
        <v>510</v>
      </c>
      <c r="X71" s="100" t="s">
        <v>402</v>
      </c>
      <c r="Y71" s="100" t="s">
        <v>943</v>
      </c>
      <c r="Z71" s="100" t="s">
        <v>822</v>
      </c>
      <c r="AA71" s="100" t="s">
        <v>847</v>
      </c>
      <c r="AB71" s="100">
        <v>1</v>
      </c>
      <c r="AC71" s="100" t="s">
        <v>447</v>
      </c>
      <c r="AD71" s="100" t="s">
        <v>944</v>
      </c>
      <c r="AE71" s="100" t="s">
        <v>945</v>
      </c>
      <c r="AF71" s="100" t="s">
        <v>946</v>
      </c>
      <c r="AG71" s="100" t="s">
        <v>947</v>
      </c>
      <c r="AH71" s="100" t="s">
        <v>822</v>
      </c>
      <c r="AI71" s="100" t="s">
        <v>822</v>
      </c>
      <c r="AJ71" s="100" t="s">
        <v>822</v>
      </c>
      <c r="AK71" s="100" t="s">
        <v>948</v>
      </c>
      <c r="AL71" s="100" t="s">
        <v>453</v>
      </c>
      <c r="AM71" s="100" t="s">
        <v>410</v>
      </c>
      <c r="AN71" s="100" t="s">
        <v>822</v>
      </c>
      <c r="AO71" s="100" t="s">
        <v>836</v>
      </c>
      <c r="AP71" s="100" t="s">
        <v>949</v>
      </c>
      <c r="AQ71" s="100" t="s">
        <v>950</v>
      </c>
      <c r="AR71" s="100" t="s">
        <v>939</v>
      </c>
      <c r="AS71" s="100" t="s">
        <v>951</v>
      </c>
      <c r="AT71" s="100" t="s">
        <v>952</v>
      </c>
      <c r="AU71" s="100" t="s">
        <v>822</v>
      </c>
    </row>
    <row r="72" spans="1:47" ht="15" x14ac:dyDescent="0.3">
      <c r="A72" s="100" t="s">
        <v>937</v>
      </c>
      <c r="B72" s="100" t="s">
        <v>389</v>
      </c>
      <c r="C72" s="100" t="s">
        <v>822</v>
      </c>
      <c r="D72" s="100" t="s">
        <v>822</v>
      </c>
      <c r="E72" s="100" t="s">
        <v>938</v>
      </c>
      <c r="F72" s="100" t="s">
        <v>939</v>
      </c>
      <c r="G72" s="100" t="s">
        <v>940</v>
      </c>
      <c r="H72" s="100" t="s">
        <v>393</v>
      </c>
      <c r="I72" s="100" t="s">
        <v>940</v>
      </c>
      <c r="J72" s="100" t="s">
        <v>393</v>
      </c>
      <c r="K72" s="100">
        <v>0</v>
      </c>
      <c r="L72" s="100" t="s">
        <v>393</v>
      </c>
      <c r="M72" s="100" t="s">
        <v>941</v>
      </c>
      <c r="N72" s="100" t="s">
        <v>565</v>
      </c>
      <c r="O72" s="100" t="s">
        <v>393</v>
      </c>
      <c r="P72" s="100" t="s">
        <v>393</v>
      </c>
      <c r="Q72" s="100" t="s">
        <v>953</v>
      </c>
      <c r="R72" s="100" t="s">
        <v>954</v>
      </c>
      <c r="S72" s="100" t="s">
        <v>425</v>
      </c>
      <c r="T72" s="100">
        <v>0</v>
      </c>
      <c r="U72" s="100" t="s">
        <v>884</v>
      </c>
      <c r="V72" s="101" t="s">
        <v>942</v>
      </c>
      <c r="W72" s="100" t="s">
        <v>511</v>
      </c>
      <c r="X72" s="100" t="s">
        <v>402</v>
      </c>
      <c r="Y72" s="100" t="s">
        <v>943</v>
      </c>
      <c r="Z72" s="100" t="s">
        <v>822</v>
      </c>
      <c r="AA72" s="100" t="s">
        <v>847</v>
      </c>
      <c r="AB72" s="100">
        <v>1</v>
      </c>
      <c r="AC72" s="100" t="s">
        <v>447</v>
      </c>
      <c r="AD72" s="100" t="s">
        <v>944</v>
      </c>
      <c r="AE72" s="100" t="s">
        <v>945</v>
      </c>
      <c r="AF72" s="100" t="s">
        <v>946</v>
      </c>
      <c r="AG72" s="100" t="s">
        <v>947</v>
      </c>
      <c r="AH72" s="100" t="s">
        <v>822</v>
      </c>
      <c r="AI72" s="100" t="s">
        <v>822</v>
      </c>
      <c r="AJ72" s="100" t="s">
        <v>822</v>
      </c>
      <c r="AK72" s="100" t="s">
        <v>948</v>
      </c>
      <c r="AL72" s="100" t="s">
        <v>453</v>
      </c>
      <c r="AM72" s="100" t="s">
        <v>410</v>
      </c>
      <c r="AN72" s="100" t="s">
        <v>822</v>
      </c>
      <c r="AO72" s="100" t="s">
        <v>836</v>
      </c>
      <c r="AP72" s="100" t="s">
        <v>949</v>
      </c>
      <c r="AQ72" s="100" t="s">
        <v>950</v>
      </c>
      <c r="AR72" s="100" t="s">
        <v>939</v>
      </c>
      <c r="AS72" s="100" t="s">
        <v>951</v>
      </c>
      <c r="AT72" s="100" t="s">
        <v>952</v>
      </c>
      <c r="AU72" s="100" t="s">
        <v>822</v>
      </c>
    </row>
    <row r="73" spans="1:47" ht="15" x14ac:dyDescent="0.3">
      <c r="A73" s="100" t="s">
        <v>937</v>
      </c>
      <c r="B73" s="100" t="s">
        <v>389</v>
      </c>
      <c r="C73" s="100" t="s">
        <v>822</v>
      </c>
      <c r="D73" s="100" t="s">
        <v>822</v>
      </c>
      <c r="E73" s="100" t="s">
        <v>938</v>
      </c>
      <c r="F73" s="100" t="s">
        <v>939</v>
      </c>
      <c r="G73" s="100" t="s">
        <v>940</v>
      </c>
      <c r="H73" s="100" t="s">
        <v>393</v>
      </c>
      <c r="I73" s="100" t="s">
        <v>940</v>
      </c>
      <c r="J73" s="100" t="s">
        <v>393</v>
      </c>
      <c r="K73" s="100">
        <v>0</v>
      </c>
      <c r="L73" s="100" t="s">
        <v>393</v>
      </c>
      <c r="M73" s="100" t="s">
        <v>941</v>
      </c>
      <c r="N73" s="100" t="s">
        <v>565</v>
      </c>
      <c r="O73" s="100" t="s">
        <v>393</v>
      </c>
      <c r="P73" s="100" t="s">
        <v>393</v>
      </c>
      <c r="Q73" s="100" t="s">
        <v>953</v>
      </c>
      <c r="R73" s="100" t="s">
        <v>954</v>
      </c>
      <c r="S73" s="100" t="s">
        <v>425</v>
      </c>
      <c r="T73" s="100">
        <v>0</v>
      </c>
      <c r="U73" s="100" t="s">
        <v>884</v>
      </c>
      <c r="V73" s="101" t="s">
        <v>942</v>
      </c>
      <c r="W73" s="100" t="s">
        <v>957</v>
      </c>
      <c r="X73" s="100" t="s">
        <v>402</v>
      </c>
      <c r="Y73" s="100" t="s">
        <v>943</v>
      </c>
      <c r="Z73" s="100" t="s">
        <v>822</v>
      </c>
      <c r="AA73" s="100" t="s">
        <v>847</v>
      </c>
      <c r="AB73" s="100">
        <v>1</v>
      </c>
      <c r="AC73" s="100" t="s">
        <v>447</v>
      </c>
      <c r="AD73" s="100" t="s">
        <v>944</v>
      </c>
      <c r="AE73" s="100" t="s">
        <v>945</v>
      </c>
      <c r="AF73" s="100" t="s">
        <v>946</v>
      </c>
      <c r="AG73" s="100" t="s">
        <v>947</v>
      </c>
      <c r="AH73" s="100" t="s">
        <v>822</v>
      </c>
      <c r="AI73" s="100" t="s">
        <v>822</v>
      </c>
      <c r="AJ73" s="100" t="s">
        <v>822</v>
      </c>
      <c r="AK73" s="100" t="s">
        <v>948</v>
      </c>
      <c r="AL73" s="100" t="s">
        <v>453</v>
      </c>
      <c r="AM73" s="100" t="s">
        <v>410</v>
      </c>
      <c r="AN73" s="100" t="s">
        <v>822</v>
      </c>
      <c r="AO73" s="100" t="s">
        <v>836</v>
      </c>
      <c r="AP73" s="100" t="s">
        <v>949</v>
      </c>
      <c r="AQ73" s="100" t="s">
        <v>950</v>
      </c>
      <c r="AR73" s="100" t="s">
        <v>939</v>
      </c>
      <c r="AS73" s="100" t="s">
        <v>951</v>
      </c>
      <c r="AT73" s="100" t="s">
        <v>952</v>
      </c>
      <c r="AU73" s="100" t="s">
        <v>822</v>
      </c>
    </row>
    <row r="74" spans="1:47" ht="15" x14ac:dyDescent="0.3">
      <c r="A74" s="100" t="s">
        <v>937</v>
      </c>
      <c r="B74" s="100" t="s">
        <v>389</v>
      </c>
      <c r="C74" s="100" t="s">
        <v>822</v>
      </c>
      <c r="D74" s="100" t="s">
        <v>822</v>
      </c>
      <c r="E74" s="100" t="s">
        <v>938</v>
      </c>
      <c r="F74" s="100" t="s">
        <v>939</v>
      </c>
      <c r="G74" s="100" t="s">
        <v>940</v>
      </c>
      <c r="H74" s="100" t="s">
        <v>393</v>
      </c>
      <c r="I74" s="100" t="s">
        <v>940</v>
      </c>
      <c r="J74" s="100" t="s">
        <v>393</v>
      </c>
      <c r="K74" s="100">
        <v>0</v>
      </c>
      <c r="L74" s="100" t="s">
        <v>393</v>
      </c>
      <c r="M74" s="100" t="s">
        <v>941</v>
      </c>
      <c r="N74" s="100" t="s">
        <v>565</v>
      </c>
      <c r="O74" s="100" t="s">
        <v>393</v>
      </c>
      <c r="P74" s="100" t="s">
        <v>393</v>
      </c>
      <c r="Q74" s="100" t="s">
        <v>953</v>
      </c>
      <c r="R74" s="100" t="s">
        <v>954</v>
      </c>
      <c r="S74" s="100" t="s">
        <v>425</v>
      </c>
      <c r="T74" s="100">
        <v>0</v>
      </c>
      <c r="U74" s="100" t="s">
        <v>884</v>
      </c>
      <c r="V74" s="101" t="s">
        <v>942</v>
      </c>
      <c r="W74" s="100" t="s">
        <v>958</v>
      </c>
      <c r="X74" s="100" t="s">
        <v>402</v>
      </c>
      <c r="Y74" s="100" t="s">
        <v>943</v>
      </c>
      <c r="Z74" s="100" t="s">
        <v>822</v>
      </c>
      <c r="AA74" s="100" t="s">
        <v>847</v>
      </c>
      <c r="AB74" s="100">
        <v>1</v>
      </c>
      <c r="AC74" s="100" t="s">
        <v>447</v>
      </c>
      <c r="AD74" s="100" t="s">
        <v>944</v>
      </c>
      <c r="AE74" s="100" t="s">
        <v>945</v>
      </c>
      <c r="AF74" s="100" t="s">
        <v>946</v>
      </c>
      <c r="AG74" s="100" t="s">
        <v>947</v>
      </c>
      <c r="AH74" s="100" t="s">
        <v>822</v>
      </c>
      <c r="AI74" s="100" t="s">
        <v>822</v>
      </c>
      <c r="AJ74" s="100" t="s">
        <v>822</v>
      </c>
      <c r="AK74" s="100" t="s">
        <v>948</v>
      </c>
      <c r="AL74" s="100" t="s">
        <v>453</v>
      </c>
      <c r="AM74" s="100" t="s">
        <v>410</v>
      </c>
      <c r="AN74" s="100" t="s">
        <v>822</v>
      </c>
      <c r="AO74" s="100" t="s">
        <v>836</v>
      </c>
      <c r="AP74" s="100" t="s">
        <v>949</v>
      </c>
      <c r="AQ74" s="100" t="s">
        <v>950</v>
      </c>
      <c r="AR74" s="100" t="s">
        <v>939</v>
      </c>
      <c r="AS74" s="100" t="s">
        <v>951</v>
      </c>
      <c r="AT74" s="100" t="s">
        <v>952</v>
      </c>
      <c r="AU74" s="100" t="s">
        <v>822</v>
      </c>
    </row>
    <row r="75" spans="1:47" ht="15" x14ac:dyDescent="0.3">
      <c r="A75" s="100" t="s">
        <v>937</v>
      </c>
      <c r="B75" s="100" t="s">
        <v>389</v>
      </c>
      <c r="C75" s="100" t="s">
        <v>822</v>
      </c>
      <c r="D75" s="100" t="s">
        <v>822</v>
      </c>
      <c r="E75" s="100" t="s">
        <v>938</v>
      </c>
      <c r="F75" s="100" t="s">
        <v>939</v>
      </c>
      <c r="G75" s="100" t="s">
        <v>940</v>
      </c>
      <c r="H75" s="100" t="s">
        <v>393</v>
      </c>
      <c r="I75" s="100" t="s">
        <v>940</v>
      </c>
      <c r="J75" s="100" t="s">
        <v>393</v>
      </c>
      <c r="K75" s="100">
        <v>0</v>
      </c>
      <c r="L75" s="100" t="s">
        <v>393</v>
      </c>
      <c r="M75" s="100" t="s">
        <v>941</v>
      </c>
      <c r="N75" s="100" t="s">
        <v>565</v>
      </c>
      <c r="O75" s="100" t="s">
        <v>393</v>
      </c>
      <c r="P75" s="100" t="s">
        <v>393</v>
      </c>
      <c r="Q75" s="100" t="s">
        <v>953</v>
      </c>
      <c r="R75" s="100" t="s">
        <v>954</v>
      </c>
      <c r="S75" s="100" t="s">
        <v>425</v>
      </c>
      <c r="T75" s="100">
        <v>0</v>
      </c>
      <c r="U75" s="100" t="s">
        <v>884</v>
      </c>
      <c r="V75" s="101" t="s">
        <v>942</v>
      </c>
      <c r="W75" s="100" t="s">
        <v>959</v>
      </c>
      <c r="X75" s="100" t="s">
        <v>402</v>
      </c>
      <c r="Y75" s="100" t="s">
        <v>943</v>
      </c>
      <c r="Z75" s="100" t="s">
        <v>822</v>
      </c>
      <c r="AA75" s="100" t="s">
        <v>847</v>
      </c>
      <c r="AB75" s="100">
        <v>1</v>
      </c>
      <c r="AC75" s="100" t="s">
        <v>447</v>
      </c>
      <c r="AD75" s="100" t="s">
        <v>944</v>
      </c>
      <c r="AE75" s="100" t="s">
        <v>945</v>
      </c>
      <c r="AF75" s="100" t="s">
        <v>946</v>
      </c>
      <c r="AG75" s="100" t="s">
        <v>947</v>
      </c>
      <c r="AH75" s="100" t="s">
        <v>822</v>
      </c>
      <c r="AI75" s="100" t="s">
        <v>822</v>
      </c>
      <c r="AJ75" s="100" t="s">
        <v>822</v>
      </c>
      <c r="AK75" s="100" t="s">
        <v>948</v>
      </c>
      <c r="AL75" s="100" t="s">
        <v>453</v>
      </c>
      <c r="AM75" s="100" t="s">
        <v>410</v>
      </c>
      <c r="AN75" s="100" t="s">
        <v>822</v>
      </c>
      <c r="AO75" s="100" t="s">
        <v>836</v>
      </c>
      <c r="AP75" s="100" t="s">
        <v>949</v>
      </c>
      <c r="AQ75" s="100" t="s">
        <v>950</v>
      </c>
      <c r="AR75" s="100" t="s">
        <v>939</v>
      </c>
      <c r="AS75" s="100" t="s">
        <v>951</v>
      </c>
      <c r="AT75" s="100" t="s">
        <v>952</v>
      </c>
      <c r="AU75" s="100" t="s">
        <v>822</v>
      </c>
    </row>
    <row r="76" spans="1:47" ht="15" x14ac:dyDescent="0.3">
      <c r="A76" s="100" t="s">
        <v>937</v>
      </c>
      <c r="B76" s="100" t="s">
        <v>389</v>
      </c>
      <c r="C76" s="100" t="s">
        <v>822</v>
      </c>
      <c r="D76" s="100" t="s">
        <v>822</v>
      </c>
      <c r="E76" s="100" t="s">
        <v>938</v>
      </c>
      <c r="F76" s="100" t="s">
        <v>939</v>
      </c>
      <c r="G76" s="100" t="s">
        <v>940</v>
      </c>
      <c r="H76" s="100" t="s">
        <v>393</v>
      </c>
      <c r="I76" s="100" t="s">
        <v>940</v>
      </c>
      <c r="J76" s="100" t="s">
        <v>393</v>
      </c>
      <c r="K76" s="100">
        <v>0</v>
      </c>
      <c r="L76" s="100" t="s">
        <v>393</v>
      </c>
      <c r="M76" s="100" t="s">
        <v>941</v>
      </c>
      <c r="N76" s="100" t="s">
        <v>565</v>
      </c>
      <c r="O76" s="100" t="s">
        <v>393</v>
      </c>
      <c r="P76" s="100" t="s">
        <v>393</v>
      </c>
      <c r="Q76" s="100" t="s">
        <v>953</v>
      </c>
      <c r="R76" s="100" t="s">
        <v>954</v>
      </c>
      <c r="S76" s="100" t="s">
        <v>425</v>
      </c>
      <c r="T76" s="100">
        <v>0</v>
      </c>
      <c r="U76" s="100" t="s">
        <v>884</v>
      </c>
      <c r="V76" s="101" t="s">
        <v>942</v>
      </c>
      <c r="W76" s="100" t="s">
        <v>960</v>
      </c>
      <c r="X76" s="100" t="s">
        <v>402</v>
      </c>
      <c r="Y76" s="100" t="s">
        <v>943</v>
      </c>
      <c r="Z76" s="100" t="s">
        <v>822</v>
      </c>
      <c r="AA76" s="100" t="s">
        <v>847</v>
      </c>
      <c r="AB76" s="100">
        <v>1</v>
      </c>
      <c r="AC76" s="100" t="s">
        <v>447</v>
      </c>
      <c r="AD76" s="100" t="s">
        <v>944</v>
      </c>
      <c r="AE76" s="100" t="s">
        <v>945</v>
      </c>
      <c r="AF76" s="100" t="s">
        <v>946</v>
      </c>
      <c r="AG76" s="100" t="s">
        <v>947</v>
      </c>
      <c r="AH76" s="100" t="s">
        <v>822</v>
      </c>
      <c r="AI76" s="100" t="s">
        <v>822</v>
      </c>
      <c r="AJ76" s="100" t="s">
        <v>822</v>
      </c>
      <c r="AK76" s="100" t="s">
        <v>948</v>
      </c>
      <c r="AL76" s="100" t="s">
        <v>453</v>
      </c>
      <c r="AM76" s="100" t="s">
        <v>410</v>
      </c>
      <c r="AN76" s="100" t="s">
        <v>822</v>
      </c>
      <c r="AO76" s="100" t="s">
        <v>836</v>
      </c>
      <c r="AP76" s="100" t="s">
        <v>949</v>
      </c>
      <c r="AQ76" s="100" t="s">
        <v>950</v>
      </c>
      <c r="AR76" s="100" t="s">
        <v>939</v>
      </c>
      <c r="AS76" s="100" t="s">
        <v>951</v>
      </c>
      <c r="AT76" s="100" t="s">
        <v>952</v>
      </c>
      <c r="AU76" s="100" t="s">
        <v>822</v>
      </c>
    </row>
    <row r="77" spans="1:47" ht="15" x14ac:dyDescent="0.3">
      <c r="A77" s="100" t="s">
        <v>1019</v>
      </c>
      <c r="B77" s="100" t="s">
        <v>389</v>
      </c>
      <c r="C77" s="100" t="s">
        <v>822</v>
      </c>
      <c r="D77" s="100" t="s">
        <v>822</v>
      </c>
      <c r="E77" s="100" t="s">
        <v>938</v>
      </c>
      <c r="F77" s="100" t="s">
        <v>939</v>
      </c>
      <c r="G77" s="100" t="s">
        <v>940</v>
      </c>
      <c r="H77" s="100" t="s">
        <v>393</v>
      </c>
      <c r="I77" s="100" t="s">
        <v>940</v>
      </c>
      <c r="J77" s="100" t="s">
        <v>393</v>
      </c>
      <c r="K77" s="100">
        <v>0</v>
      </c>
      <c r="L77" s="100" t="s">
        <v>393</v>
      </c>
      <c r="M77" s="100" t="s">
        <v>941</v>
      </c>
      <c r="N77" s="100" t="s">
        <v>565</v>
      </c>
      <c r="O77" s="100" t="s">
        <v>393</v>
      </c>
      <c r="P77" s="100" t="s">
        <v>393</v>
      </c>
      <c r="Q77" s="100" t="s">
        <v>953</v>
      </c>
      <c r="R77" s="100" t="s">
        <v>954</v>
      </c>
      <c r="S77" s="100" t="s">
        <v>425</v>
      </c>
      <c r="T77" s="100">
        <v>0</v>
      </c>
      <c r="U77" s="100" t="s">
        <v>884</v>
      </c>
      <c r="V77" s="101" t="s">
        <v>942</v>
      </c>
      <c r="W77" s="100" t="s">
        <v>961</v>
      </c>
      <c r="X77" s="100" t="s">
        <v>402</v>
      </c>
      <c r="Y77" s="100" t="s">
        <v>943</v>
      </c>
      <c r="Z77" s="100" t="s">
        <v>822</v>
      </c>
      <c r="AA77" s="100" t="s">
        <v>847</v>
      </c>
      <c r="AB77" s="100">
        <v>1</v>
      </c>
      <c r="AC77" s="100" t="s">
        <v>447</v>
      </c>
      <c r="AD77" s="100" t="s">
        <v>944</v>
      </c>
      <c r="AE77" s="100" t="s">
        <v>945</v>
      </c>
      <c r="AF77" s="100" t="s">
        <v>946</v>
      </c>
      <c r="AG77" s="100" t="s">
        <v>947</v>
      </c>
      <c r="AH77" s="100" t="s">
        <v>822</v>
      </c>
      <c r="AI77" s="100" t="s">
        <v>822</v>
      </c>
      <c r="AJ77" s="100" t="s">
        <v>822</v>
      </c>
      <c r="AK77" s="100" t="s">
        <v>948</v>
      </c>
      <c r="AL77" s="100" t="s">
        <v>453</v>
      </c>
      <c r="AM77" s="100" t="s">
        <v>410</v>
      </c>
      <c r="AN77" s="100" t="s">
        <v>822</v>
      </c>
      <c r="AO77" s="100" t="s">
        <v>836</v>
      </c>
      <c r="AP77" s="100" t="s">
        <v>949</v>
      </c>
      <c r="AQ77" s="100" t="s">
        <v>950</v>
      </c>
      <c r="AR77" s="100" t="s">
        <v>939</v>
      </c>
      <c r="AS77" s="100" t="s">
        <v>951</v>
      </c>
      <c r="AT77" s="100" t="s">
        <v>952</v>
      </c>
      <c r="AU77" s="100" t="s">
        <v>822</v>
      </c>
    </row>
    <row r="78" spans="1:47" ht="15" x14ac:dyDescent="0.3">
      <c r="A78" s="100" t="s">
        <v>879</v>
      </c>
      <c r="B78" s="100" t="s">
        <v>389</v>
      </c>
      <c r="C78" s="100" t="s">
        <v>822</v>
      </c>
      <c r="D78" s="100" t="s">
        <v>822</v>
      </c>
      <c r="E78" s="100" t="s">
        <v>880</v>
      </c>
      <c r="F78" s="100" t="s">
        <v>881</v>
      </c>
      <c r="G78" s="100" t="s">
        <v>882</v>
      </c>
      <c r="H78" s="100" t="s">
        <v>393</v>
      </c>
      <c r="I78" s="100" t="s">
        <v>882</v>
      </c>
      <c r="J78" s="100" t="s">
        <v>393</v>
      </c>
      <c r="K78" s="100">
        <v>30</v>
      </c>
      <c r="L78" s="100" t="s">
        <v>393</v>
      </c>
      <c r="M78" s="100" t="s">
        <v>883</v>
      </c>
      <c r="N78" s="100" t="s">
        <v>393</v>
      </c>
      <c r="O78" s="100" t="s">
        <v>393</v>
      </c>
      <c r="P78" s="100" t="s">
        <v>393</v>
      </c>
      <c r="Q78" s="108">
        <f>ROUND((G78+K78+P78)*4%,0)</f>
        <v>5</v>
      </c>
      <c r="R78" s="108">
        <f>ROUND((G78+K78+P78)*3%,0)</f>
        <v>4</v>
      </c>
      <c r="S78" s="108">
        <f>ROUND(G78*2%,0)</f>
        <v>2</v>
      </c>
      <c r="T78" s="100">
        <v>0</v>
      </c>
      <c r="U78" s="100" t="s">
        <v>884</v>
      </c>
      <c r="V78" s="101" t="s">
        <v>885</v>
      </c>
      <c r="W78" s="100" t="s">
        <v>536</v>
      </c>
      <c r="X78" s="100" t="s">
        <v>482</v>
      </c>
      <c r="Y78" s="100" t="s">
        <v>482</v>
      </c>
      <c r="Z78" s="100" t="s">
        <v>822</v>
      </c>
      <c r="AA78" s="100" t="s">
        <v>830</v>
      </c>
      <c r="AB78" s="100">
        <v>1</v>
      </c>
      <c r="AC78" s="100" t="s">
        <v>403</v>
      </c>
      <c r="AD78" s="100" t="s">
        <v>886</v>
      </c>
      <c r="AE78" s="100" t="s">
        <v>887</v>
      </c>
      <c r="AF78" s="100" t="s">
        <v>888</v>
      </c>
      <c r="AG78" s="100" t="s">
        <v>822</v>
      </c>
      <c r="AH78" s="100" t="s">
        <v>889</v>
      </c>
      <c r="AI78" s="100" t="s">
        <v>890</v>
      </c>
      <c r="AJ78" s="100" t="s">
        <v>822</v>
      </c>
      <c r="AK78" s="100" t="s">
        <v>891</v>
      </c>
      <c r="AL78" s="100" t="s">
        <v>892</v>
      </c>
      <c r="AM78" s="100" t="s">
        <v>410</v>
      </c>
      <c r="AN78" s="100" t="s">
        <v>822</v>
      </c>
      <c r="AO78" s="100" t="s">
        <v>836</v>
      </c>
      <c r="AP78" s="100" t="s">
        <v>893</v>
      </c>
      <c r="AQ78" s="100" t="s">
        <v>894</v>
      </c>
      <c r="AR78" s="100" t="s">
        <v>881</v>
      </c>
      <c r="AS78" s="100" t="s">
        <v>895</v>
      </c>
      <c r="AT78" s="100" t="s">
        <v>896</v>
      </c>
      <c r="AU78" s="100" t="s">
        <v>822</v>
      </c>
    </row>
    <row r="79" spans="1:47" ht="15" x14ac:dyDescent="0.3">
      <c r="A79" s="100" t="s">
        <v>879</v>
      </c>
      <c r="B79" s="100" t="s">
        <v>389</v>
      </c>
      <c r="C79" s="100" t="s">
        <v>822</v>
      </c>
      <c r="D79" s="100" t="s">
        <v>822</v>
      </c>
      <c r="E79" s="100" t="s">
        <v>880</v>
      </c>
      <c r="F79" s="100" t="s">
        <v>881</v>
      </c>
      <c r="G79" s="100" t="s">
        <v>882</v>
      </c>
      <c r="H79" s="100" t="s">
        <v>393</v>
      </c>
      <c r="I79" s="100" t="s">
        <v>882</v>
      </c>
      <c r="J79" s="100" t="s">
        <v>393</v>
      </c>
      <c r="K79" s="100">
        <v>30</v>
      </c>
      <c r="L79" s="100" t="s">
        <v>393</v>
      </c>
      <c r="M79" s="100" t="s">
        <v>883</v>
      </c>
      <c r="N79" s="100" t="s">
        <v>393</v>
      </c>
      <c r="O79" s="100" t="s">
        <v>393</v>
      </c>
      <c r="P79" s="100" t="s">
        <v>393</v>
      </c>
      <c r="Q79" s="100" t="s">
        <v>542</v>
      </c>
      <c r="R79" s="100" t="s">
        <v>396</v>
      </c>
      <c r="S79" s="100" t="s">
        <v>426</v>
      </c>
      <c r="T79" s="100">
        <v>0</v>
      </c>
      <c r="U79" s="100" t="s">
        <v>884</v>
      </c>
      <c r="V79" s="101" t="s">
        <v>885</v>
      </c>
      <c r="W79" s="100" t="s">
        <v>897</v>
      </c>
      <c r="X79" s="100" t="s">
        <v>482</v>
      </c>
      <c r="Y79" s="100" t="s">
        <v>482</v>
      </c>
      <c r="Z79" s="100" t="s">
        <v>822</v>
      </c>
      <c r="AA79" s="100" t="s">
        <v>830</v>
      </c>
      <c r="AB79" s="100">
        <v>1</v>
      </c>
      <c r="AC79" s="100" t="s">
        <v>403</v>
      </c>
      <c r="AD79" s="100" t="s">
        <v>886</v>
      </c>
      <c r="AE79" s="100" t="s">
        <v>887</v>
      </c>
      <c r="AF79" s="100" t="s">
        <v>888</v>
      </c>
      <c r="AG79" s="100" t="s">
        <v>822</v>
      </c>
      <c r="AH79" s="100" t="s">
        <v>889</v>
      </c>
      <c r="AI79" s="100" t="s">
        <v>890</v>
      </c>
      <c r="AJ79" s="100" t="s">
        <v>822</v>
      </c>
      <c r="AK79" s="100" t="s">
        <v>891</v>
      </c>
      <c r="AL79" s="100" t="s">
        <v>892</v>
      </c>
      <c r="AM79" s="100" t="s">
        <v>410</v>
      </c>
      <c r="AN79" s="100" t="s">
        <v>822</v>
      </c>
      <c r="AO79" s="100" t="s">
        <v>836</v>
      </c>
      <c r="AP79" s="100" t="s">
        <v>893</v>
      </c>
      <c r="AQ79" s="100" t="s">
        <v>894</v>
      </c>
      <c r="AR79" s="100" t="s">
        <v>881</v>
      </c>
      <c r="AS79" s="100" t="s">
        <v>895</v>
      </c>
      <c r="AT79" s="100" t="s">
        <v>896</v>
      </c>
      <c r="AU79" s="100" t="s">
        <v>822</v>
      </c>
    </row>
    <row r="80" spans="1:47" ht="15" x14ac:dyDescent="0.3">
      <c r="A80" s="100" t="s">
        <v>1018</v>
      </c>
      <c r="B80" s="100" t="s">
        <v>389</v>
      </c>
      <c r="C80" s="100" t="s">
        <v>822</v>
      </c>
      <c r="D80" s="100" t="s">
        <v>822</v>
      </c>
      <c r="E80" s="100" t="s">
        <v>880</v>
      </c>
      <c r="F80" s="100" t="s">
        <v>881</v>
      </c>
      <c r="G80" s="100" t="s">
        <v>882</v>
      </c>
      <c r="H80" s="100" t="s">
        <v>393</v>
      </c>
      <c r="I80" s="100" t="s">
        <v>882</v>
      </c>
      <c r="J80" s="100" t="s">
        <v>393</v>
      </c>
      <c r="K80" s="100">
        <v>30</v>
      </c>
      <c r="L80" s="100" t="s">
        <v>393</v>
      </c>
      <c r="M80" s="100" t="s">
        <v>883</v>
      </c>
      <c r="N80" s="100" t="s">
        <v>393</v>
      </c>
      <c r="O80" s="100" t="s">
        <v>393</v>
      </c>
      <c r="P80" s="100" t="s">
        <v>393</v>
      </c>
      <c r="Q80" s="100" t="s">
        <v>542</v>
      </c>
      <c r="R80" s="100" t="s">
        <v>396</v>
      </c>
      <c r="S80" s="100" t="s">
        <v>426</v>
      </c>
      <c r="T80" s="100">
        <v>0</v>
      </c>
      <c r="U80" s="100" t="s">
        <v>884</v>
      </c>
      <c r="V80" s="101" t="s">
        <v>885</v>
      </c>
      <c r="W80" s="100" t="s">
        <v>898</v>
      </c>
      <c r="X80" s="100" t="s">
        <v>482</v>
      </c>
      <c r="Y80" s="100" t="s">
        <v>482</v>
      </c>
      <c r="Z80" s="100" t="s">
        <v>822</v>
      </c>
      <c r="AA80" s="100" t="s">
        <v>830</v>
      </c>
      <c r="AB80" s="100">
        <v>1</v>
      </c>
      <c r="AC80" s="100" t="s">
        <v>403</v>
      </c>
      <c r="AD80" s="100" t="s">
        <v>886</v>
      </c>
      <c r="AE80" s="100" t="s">
        <v>887</v>
      </c>
      <c r="AF80" s="100" t="s">
        <v>888</v>
      </c>
      <c r="AG80" s="100" t="s">
        <v>822</v>
      </c>
      <c r="AH80" s="100" t="s">
        <v>889</v>
      </c>
      <c r="AI80" s="100" t="s">
        <v>890</v>
      </c>
      <c r="AJ80" s="100" t="s">
        <v>822</v>
      </c>
      <c r="AK80" s="100" t="s">
        <v>891</v>
      </c>
      <c r="AL80" s="100" t="s">
        <v>892</v>
      </c>
      <c r="AM80" s="100" t="s">
        <v>410</v>
      </c>
      <c r="AN80" s="100" t="s">
        <v>822</v>
      </c>
      <c r="AO80" s="100" t="s">
        <v>836</v>
      </c>
      <c r="AP80" s="100" t="s">
        <v>893</v>
      </c>
      <c r="AQ80" s="100" t="s">
        <v>894</v>
      </c>
      <c r="AR80" s="100" t="s">
        <v>881</v>
      </c>
      <c r="AS80" s="100" t="s">
        <v>895</v>
      </c>
      <c r="AT80" s="100" t="s">
        <v>896</v>
      </c>
      <c r="AU80" s="100" t="s">
        <v>822</v>
      </c>
    </row>
    <row r="81" spans="1:47" ht="15" x14ac:dyDescent="0.3">
      <c r="A81" s="100" t="s">
        <v>899</v>
      </c>
      <c r="B81" s="100" t="s">
        <v>389</v>
      </c>
      <c r="C81" s="100" t="s">
        <v>822</v>
      </c>
      <c r="D81" s="100" t="s">
        <v>822</v>
      </c>
      <c r="E81" s="100" t="s">
        <v>900</v>
      </c>
      <c r="F81" s="100" t="s">
        <v>901</v>
      </c>
      <c r="G81" s="100" t="s">
        <v>902</v>
      </c>
      <c r="H81" s="100" t="s">
        <v>393</v>
      </c>
      <c r="I81" s="100" t="s">
        <v>902</v>
      </c>
      <c r="J81" s="100" t="s">
        <v>393</v>
      </c>
      <c r="K81" s="100">
        <v>153</v>
      </c>
      <c r="L81" s="100" t="s">
        <v>393</v>
      </c>
      <c r="M81" s="100" t="s">
        <v>903</v>
      </c>
      <c r="N81" s="100" t="s">
        <v>904</v>
      </c>
      <c r="O81" s="100" t="s">
        <v>393</v>
      </c>
      <c r="P81" s="100" t="s">
        <v>905</v>
      </c>
      <c r="Q81" s="108">
        <f>ROUND((G81+K81+P81)*4%,0)</f>
        <v>27</v>
      </c>
      <c r="R81" s="108">
        <f>ROUND((G81+K81+P81)*3%,0)</f>
        <v>20</v>
      </c>
      <c r="S81" s="108">
        <f>ROUND(G81*2%,0)</f>
        <v>9</v>
      </c>
      <c r="T81" s="100">
        <v>0</v>
      </c>
      <c r="U81" s="100" t="s">
        <v>884</v>
      </c>
      <c r="V81" s="101" t="s">
        <v>885</v>
      </c>
      <c r="W81" s="100" t="s">
        <v>906</v>
      </c>
      <c r="X81" s="100" t="s">
        <v>482</v>
      </c>
      <c r="Y81" s="100" t="s">
        <v>907</v>
      </c>
      <c r="Z81" s="100" t="s">
        <v>822</v>
      </c>
      <c r="AA81" s="100" t="s">
        <v>830</v>
      </c>
      <c r="AB81" s="100">
        <v>10</v>
      </c>
      <c r="AC81" s="100" t="s">
        <v>447</v>
      </c>
      <c r="AD81" s="100" t="s">
        <v>908</v>
      </c>
      <c r="AE81" s="100" t="s">
        <v>831</v>
      </c>
      <c r="AF81" s="100" t="s">
        <v>909</v>
      </c>
      <c r="AG81" s="100" t="s">
        <v>910</v>
      </c>
      <c r="AH81" s="100" t="s">
        <v>822</v>
      </c>
      <c r="AI81" s="100" t="s">
        <v>822</v>
      </c>
      <c r="AJ81" s="100" t="s">
        <v>822</v>
      </c>
      <c r="AK81" s="100" t="s">
        <v>911</v>
      </c>
      <c r="AL81" s="100" t="s">
        <v>409</v>
      </c>
      <c r="AM81" s="100" t="s">
        <v>410</v>
      </c>
      <c r="AN81" s="100" t="s">
        <v>822</v>
      </c>
      <c r="AO81" s="100" t="s">
        <v>411</v>
      </c>
      <c r="AP81" s="100" t="s">
        <v>912</v>
      </c>
      <c r="AQ81" s="100" t="s">
        <v>913</v>
      </c>
      <c r="AR81" s="100" t="s">
        <v>901</v>
      </c>
      <c r="AS81" s="100" t="s">
        <v>914</v>
      </c>
      <c r="AT81" s="100" t="s">
        <v>915</v>
      </c>
      <c r="AU81" s="100" t="s">
        <v>822</v>
      </c>
    </row>
    <row r="82" spans="1:47" ht="15" x14ac:dyDescent="0.3">
      <c r="A82" s="100" t="s">
        <v>899</v>
      </c>
      <c r="B82" s="100" t="s">
        <v>389</v>
      </c>
      <c r="C82" s="100" t="s">
        <v>822</v>
      </c>
      <c r="D82" s="100" t="s">
        <v>822</v>
      </c>
      <c r="E82" s="100" t="s">
        <v>900</v>
      </c>
      <c r="F82" s="100" t="s">
        <v>901</v>
      </c>
      <c r="G82" s="100" t="s">
        <v>902</v>
      </c>
      <c r="H82" s="100" t="s">
        <v>393</v>
      </c>
      <c r="I82" s="100" t="s">
        <v>902</v>
      </c>
      <c r="J82" s="100" t="s">
        <v>393</v>
      </c>
      <c r="K82" s="100">
        <v>153</v>
      </c>
      <c r="L82" s="100" t="s">
        <v>393</v>
      </c>
      <c r="M82" s="100" t="s">
        <v>903</v>
      </c>
      <c r="N82" s="100" t="s">
        <v>904</v>
      </c>
      <c r="O82" s="100" t="s">
        <v>393</v>
      </c>
      <c r="P82" s="100" t="s">
        <v>905</v>
      </c>
      <c r="Q82" s="100" t="s">
        <v>916</v>
      </c>
      <c r="R82" s="100" t="s">
        <v>584</v>
      </c>
      <c r="S82" s="100" t="s">
        <v>917</v>
      </c>
      <c r="T82" s="100">
        <v>0</v>
      </c>
      <c r="U82" s="100" t="s">
        <v>884</v>
      </c>
      <c r="V82" s="101" t="s">
        <v>885</v>
      </c>
      <c r="W82" s="100" t="s">
        <v>906</v>
      </c>
      <c r="X82" s="100" t="s">
        <v>482</v>
      </c>
      <c r="Y82" s="100" t="s">
        <v>482</v>
      </c>
      <c r="Z82" s="100" t="s">
        <v>822</v>
      </c>
      <c r="AA82" s="100" t="s">
        <v>830</v>
      </c>
      <c r="AB82" s="100">
        <v>7</v>
      </c>
      <c r="AC82" s="100" t="s">
        <v>403</v>
      </c>
      <c r="AD82" s="100" t="s">
        <v>886</v>
      </c>
      <c r="AE82" s="100" t="s">
        <v>831</v>
      </c>
      <c r="AF82" s="100" t="s">
        <v>909</v>
      </c>
      <c r="AG82" s="100" t="s">
        <v>910</v>
      </c>
      <c r="AH82" s="100" t="s">
        <v>822</v>
      </c>
      <c r="AI82" s="100" t="s">
        <v>822</v>
      </c>
      <c r="AJ82" s="100" t="s">
        <v>822</v>
      </c>
      <c r="AK82" s="100" t="s">
        <v>911</v>
      </c>
      <c r="AL82" s="100" t="s">
        <v>409</v>
      </c>
      <c r="AM82" s="100" t="s">
        <v>410</v>
      </c>
      <c r="AN82" s="100" t="s">
        <v>822</v>
      </c>
      <c r="AO82" s="100" t="s">
        <v>411</v>
      </c>
      <c r="AP82" s="100" t="s">
        <v>912</v>
      </c>
      <c r="AQ82" s="100" t="s">
        <v>913</v>
      </c>
      <c r="AR82" s="100" t="s">
        <v>901</v>
      </c>
      <c r="AS82" s="100" t="s">
        <v>914</v>
      </c>
      <c r="AT82" s="100" t="s">
        <v>915</v>
      </c>
      <c r="AU82" s="100" t="s">
        <v>822</v>
      </c>
    </row>
    <row r="83" spans="1:47" ht="15" x14ac:dyDescent="0.3">
      <c r="A83" s="109" t="s">
        <v>918</v>
      </c>
      <c r="B83" s="109" t="s">
        <v>389</v>
      </c>
      <c r="C83" s="109" t="s">
        <v>822</v>
      </c>
      <c r="D83" s="109" t="s">
        <v>822</v>
      </c>
      <c r="E83" s="109" t="s">
        <v>919</v>
      </c>
      <c r="F83" s="109" t="s">
        <v>920</v>
      </c>
      <c r="G83" s="109" t="s">
        <v>441</v>
      </c>
      <c r="H83" s="109" t="s">
        <v>393</v>
      </c>
      <c r="I83" s="109" t="s">
        <v>441</v>
      </c>
      <c r="J83" s="109" t="s">
        <v>393</v>
      </c>
      <c r="K83" s="109">
        <v>0</v>
      </c>
      <c r="L83" s="109" t="s">
        <v>393</v>
      </c>
      <c r="M83" s="109" t="s">
        <v>921</v>
      </c>
      <c r="N83" s="109" t="s">
        <v>565</v>
      </c>
      <c r="O83" s="109" t="s">
        <v>393</v>
      </c>
      <c r="P83" s="109" t="s">
        <v>393</v>
      </c>
      <c r="Q83" s="108">
        <f>ROUND((G83+K83+P83)*4%,0)</f>
        <v>13</v>
      </c>
      <c r="R83" s="108">
        <f>ROUND((G83+K83+P83)*3%,0)</f>
        <v>10</v>
      </c>
      <c r="S83" s="108">
        <f>ROUND(G83*2%,0)</f>
        <v>6</v>
      </c>
      <c r="T83" s="109">
        <v>0</v>
      </c>
      <c r="U83" s="109" t="s">
        <v>884</v>
      </c>
      <c r="V83" s="110" t="s">
        <v>922</v>
      </c>
      <c r="W83" s="111" t="s">
        <v>923</v>
      </c>
      <c r="X83" s="109" t="s">
        <v>924</v>
      </c>
      <c r="Y83" s="109" t="s">
        <v>924</v>
      </c>
      <c r="Z83" s="109" t="s">
        <v>822</v>
      </c>
      <c r="AA83" s="109"/>
      <c r="AB83" s="109">
        <v>1</v>
      </c>
      <c r="AC83" s="109" t="s">
        <v>403</v>
      </c>
      <c r="AD83" s="109" t="s">
        <v>886</v>
      </c>
      <c r="AE83" s="109" t="s">
        <v>925</v>
      </c>
      <c r="AF83" s="109" t="s">
        <v>926</v>
      </c>
      <c r="AG83" s="109" t="s">
        <v>927</v>
      </c>
      <c r="AH83" s="109" t="s">
        <v>822</v>
      </c>
      <c r="AI83" s="109" t="s">
        <v>822</v>
      </c>
      <c r="AJ83" s="109" t="s">
        <v>822</v>
      </c>
      <c r="AK83" s="109" t="s">
        <v>928</v>
      </c>
      <c r="AL83" s="109" t="s">
        <v>499</v>
      </c>
      <c r="AM83" s="109" t="s">
        <v>410</v>
      </c>
      <c r="AN83" s="109" t="s">
        <v>822</v>
      </c>
      <c r="AO83" s="109" t="s">
        <v>836</v>
      </c>
      <c r="AP83" s="109" t="s">
        <v>929</v>
      </c>
      <c r="AQ83" s="109" t="s">
        <v>930</v>
      </c>
      <c r="AR83" s="109" t="s">
        <v>920</v>
      </c>
      <c r="AS83" s="109" t="s">
        <v>931</v>
      </c>
      <c r="AT83" s="109" t="s">
        <v>932</v>
      </c>
      <c r="AU83" s="109" t="s">
        <v>822</v>
      </c>
    </row>
    <row r="84" spans="1:47" ht="15" x14ac:dyDescent="0.3">
      <c r="A84" s="109" t="s">
        <v>918</v>
      </c>
      <c r="B84" s="109" t="s">
        <v>389</v>
      </c>
      <c r="C84" s="109" t="s">
        <v>822</v>
      </c>
      <c r="D84" s="109" t="s">
        <v>822</v>
      </c>
      <c r="E84" s="109" t="s">
        <v>919</v>
      </c>
      <c r="F84" s="109" t="s">
        <v>920</v>
      </c>
      <c r="G84" s="109" t="s">
        <v>441</v>
      </c>
      <c r="H84" s="109" t="s">
        <v>393</v>
      </c>
      <c r="I84" s="109" t="s">
        <v>441</v>
      </c>
      <c r="J84" s="109" t="s">
        <v>393</v>
      </c>
      <c r="K84" s="109">
        <v>0</v>
      </c>
      <c r="L84" s="109" t="s">
        <v>393</v>
      </c>
      <c r="M84" s="109" t="s">
        <v>921</v>
      </c>
      <c r="N84" s="109" t="s">
        <v>565</v>
      </c>
      <c r="O84" s="109" t="s">
        <v>393</v>
      </c>
      <c r="P84" s="109" t="s">
        <v>393</v>
      </c>
      <c r="Q84" s="109" t="s">
        <v>489</v>
      </c>
      <c r="R84" s="109" t="s">
        <v>444</v>
      </c>
      <c r="S84" s="109" t="s">
        <v>845</v>
      </c>
      <c r="T84" s="109">
        <v>0</v>
      </c>
      <c r="U84" s="109" t="s">
        <v>884</v>
      </c>
      <c r="V84" s="101" t="s">
        <v>885</v>
      </c>
      <c r="W84" s="109" t="s">
        <v>933</v>
      </c>
      <c r="X84" s="109" t="s">
        <v>482</v>
      </c>
      <c r="Y84" s="109" t="s">
        <v>482</v>
      </c>
      <c r="Z84" s="109" t="s">
        <v>822</v>
      </c>
      <c r="AA84" s="109" t="s">
        <v>830</v>
      </c>
      <c r="AB84" s="109">
        <v>1</v>
      </c>
      <c r="AC84" s="109" t="s">
        <v>403</v>
      </c>
      <c r="AD84" s="109" t="s">
        <v>886</v>
      </c>
      <c r="AE84" s="109" t="s">
        <v>925</v>
      </c>
      <c r="AF84" s="109" t="s">
        <v>926</v>
      </c>
      <c r="AG84" s="109" t="s">
        <v>927</v>
      </c>
      <c r="AH84" s="109" t="s">
        <v>822</v>
      </c>
      <c r="AI84" s="109" t="s">
        <v>822</v>
      </c>
      <c r="AJ84" s="109" t="s">
        <v>822</v>
      </c>
      <c r="AK84" s="109" t="s">
        <v>928</v>
      </c>
      <c r="AL84" s="109" t="s">
        <v>499</v>
      </c>
      <c r="AM84" s="109" t="s">
        <v>410</v>
      </c>
      <c r="AN84" s="109" t="s">
        <v>822</v>
      </c>
      <c r="AO84" s="109" t="s">
        <v>836</v>
      </c>
      <c r="AP84" s="109" t="s">
        <v>929</v>
      </c>
      <c r="AQ84" s="109" t="s">
        <v>930</v>
      </c>
      <c r="AR84" s="109" t="s">
        <v>920</v>
      </c>
      <c r="AS84" s="109" t="s">
        <v>931</v>
      </c>
      <c r="AT84" s="109" t="s">
        <v>932</v>
      </c>
      <c r="AU84" s="109" t="s">
        <v>822</v>
      </c>
    </row>
    <row r="85" spans="1:47" ht="15" x14ac:dyDescent="0.3">
      <c r="A85" s="109" t="s">
        <v>918</v>
      </c>
      <c r="B85" s="109" t="s">
        <v>389</v>
      </c>
      <c r="C85" s="109" t="s">
        <v>822</v>
      </c>
      <c r="D85" s="109" t="s">
        <v>822</v>
      </c>
      <c r="E85" s="109" t="s">
        <v>919</v>
      </c>
      <c r="F85" s="109" t="s">
        <v>920</v>
      </c>
      <c r="G85" s="109" t="s">
        <v>441</v>
      </c>
      <c r="H85" s="109">
        <v>0</v>
      </c>
      <c r="I85" s="109" t="s">
        <v>441</v>
      </c>
      <c r="J85" s="109" t="s">
        <v>393</v>
      </c>
      <c r="K85" s="109">
        <v>0</v>
      </c>
      <c r="L85" s="109" t="s">
        <v>393</v>
      </c>
      <c r="M85" s="109" t="s">
        <v>921</v>
      </c>
      <c r="N85" s="109" t="s">
        <v>565</v>
      </c>
      <c r="O85" s="109" t="s">
        <v>393</v>
      </c>
      <c r="P85" s="109" t="s">
        <v>393</v>
      </c>
      <c r="Q85" s="109" t="s">
        <v>489</v>
      </c>
      <c r="R85" s="109" t="s">
        <v>444</v>
      </c>
      <c r="S85" s="109" t="s">
        <v>845</v>
      </c>
      <c r="T85" s="109">
        <v>0</v>
      </c>
      <c r="U85" s="109" t="s">
        <v>884</v>
      </c>
      <c r="V85" s="101" t="s">
        <v>885</v>
      </c>
      <c r="W85" s="109" t="s">
        <v>934</v>
      </c>
      <c r="X85" s="109" t="s">
        <v>482</v>
      </c>
      <c r="Y85" s="109" t="s">
        <v>482</v>
      </c>
      <c r="Z85" s="109" t="s">
        <v>822</v>
      </c>
      <c r="AA85" s="109" t="s">
        <v>830</v>
      </c>
      <c r="AB85" s="109">
        <v>1</v>
      </c>
      <c r="AC85" s="109" t="s">
        <v>403</v>
      </c>
      <c r="AD85" s="109" t="s">
        <v>886</v>
      </c>
      <c r="AE85" s="109" t="s">
        <v>925</v>
      </c>
      <c r="AF85" s="109" t="s">
        <v>926</v>
      </c>
      <c r="AG85" s="109" t="s">
        <v>927</v>
      </c>
      <c r="AH85" s="109" t="s">
        <v>822</v>
      </c>
      <c r="AI85" s="109" t="s">
        <v>822</v>
      </c>
      <c r="AJ85" s="109" t="s">
        <v>822</v>
      </c>
      <c r="AK85" s="109" t="s">
        <v>928</v>
      </c>
      <c r="AL85" s="109" t="s">
        <v>499</v>
      </c>
      <c r="AM85" s="109" t="s">
        <v>410</v>
      </c>
      <c r="AN85" s="109" t="s">
        <v>822</v>
      </c>
      <c r="AO85" s="109" t="s">
        <v>836</v>
      </c>
      <c r="AP85" s="109" t="s">
        <v>929</v>
      </c>
      <c r="AQ85" s="109" t="s">
        <v>930</v>
      </c>
      <c r="AR85" s="109" t="s">
        <v>920</v>
      </c>
      <c r="AS85" s="109" t="s">
        <v>931</v>
      </c>
      <c r="AT85" s="109" t="s">
        <v>932</v>
      </c>
      <c r="AU85" s="109" t="s">
        <v>822</v>
      </c>
    </row>
    <row r="86" spans="1:47" ht="15" x14ac:dyDescent="0.3">
      <c r="A86" s="109" t="s">
        <v>918</v>
      </c>
      <c r="B86" s="109" t="s">
        <v>389</v>
      </c>
      <c r="C86" s="109" t="s">
        <v>822</v>
      </c>
      <c r="D86" s="109" t="s">
        <v>822</v>
      </c>
      <c r="E86" s="109" t="s">
        <v>919</v>
      </c>
      <c r="F86" s="109" t="s">
        <v>920</v>
      </c>
      <c r="G86" s="109" t="s">
        <v>441</v>
      </c>
      <c r="H86" s="109" t="s">
        <v>393</v>
      </c>
      <c r="I86" s="109" t="s">
        <v>441</v>
      </c>
      <c r="J86" s="109" t="s">
        <v>393</v>
      </c>
      <c r="K86" s="109">
        <v>0</v>
      </c>
      <c r="L86" s="109" t="s">
        <v>393</v>
      </c>
      <c r="M86" s="109" t="s">
        <v>921</v>
      </c>
      <c r="N86" s="109" t="s">
        <v>565</v>
      </c>
      <c r="O86" s="109" t="s">
        <v>393</v>
      </c>
      <c r="P86" s="109" t="s">
        <v>393</v>
      </c>
      <c r="Q86" s="109" t="s">
        <v>489</v>
      </c>
      <c r="R86" s="109" t="s">
        <v>444</v>
      </c>
      <c r="S86" s="109" t="s">
        <v>845</v>
      </c>
      <c r="T86" s="109">
        <v>0</v>
      </c>
      <c r="U86" s="109" t="s">
        <v>884</v>
      </c>
      <c r="V86" s="110" t="s">
        <v>935</v>
      </c>
      <c r="W86" s="111" t="s">
        <v>936</v>
      </c>
      <c r="X86" s="109" t="s">
        <v>402</v>
      </c>
      <c r="Y86" s="109" t="s">
        <v>402</v>
      </c>
      <c r="Z86" s="109" t="s">
        <v>822</v>
      </c>
      <c r="AA86" s="109" t="s">
        <v>830</v>
      </c>
      <c r="AB86" s="109">
        <v>1</v>
      </c>
      <c r="AC86" s="109" t="s">
        <v>403</v>
      </c>
      <c r="AD86" s="109" t="s">
        <v>886</v>
      </c>
      <c r="AE86" s="109" t="s">
        <v>925</v>
      </c>
      <c r="AF86" s="109" t="s">
        <v>926</v>
      </c>
      <c r="AG86" s="109" t="s">
        <v>927</v>
      </c>
      <c r="AH86" s="109" t="s">
        <v>822</v>
      </c>
      <c r="AI86" s="109" t="s">
        <v>822</v>
      </c>
      <c r="AJ86" s="109" t="s">
        <v>822</v>
      </c>
      <c r="AK86" s="109" t="s">
        <v>928</v>
      </c>
      <c r="AL86" s="109" t="s">
        <v>499</v>
      </c>
      <c r="AM86" s="109" t="s">
        <v>410</v>
      </c>
      <c r="AN86" s="109" t="s">
        <v>822</v>
      </c>
      <c r="AO86" s="109" t="s">
        <v>836</v>
      </c>
      <c r="AP86" s="109" t="s">
        <v>929</v>
      </c>
      <c r="AQ86" s="109" t="s">
        <v>930</v>
      </c>
      <c r="AR86" s="109" t="s">
        <v>920</v>
      </c>
      <c r="AS86" s="109" t="s">
        <v>931</v>
      </c>
      <c r="AT86" s="109" t="s">
        <v>932</v>
      </c>
      <c r="AU86" s="109" t="s">
        <v>822</v>
      </c>
    </row>
    <row r="87" spans="1:47" ht="15" x14ac:dyDescent="0.3">
      <c r="A87" s="100" t="s">
        <v>937</v>
      </c>
      <c r="B87" s="100" t="s">
        <v>389</v>
      </c>
      <c r="C87" s="100" t="s">
        <v>822</v>
      </c>
      <c r="D87" s="100" t="s">
        <v>822</v>
      </c>
      <c r="E87" s="100" t="s">
        <v>938</v>
      </c>
      <c r="F87" s="100" t="s">
        <v>939</v>
      </c>
      <c r="G87" s="100" t="s">
        <v>940</v>
      </c>
      <c r="H87" s="100" t="s">
        <v>393</v>
      </c>
      <c r="I87" s="100" t="s">
        <v>940</v>
      </c>
      <c r="J87" s="100" t="s">
        <v>393</v>
      </c>
      <c r="K87" s="100">
        <v>0</v>
      </c>
      <c r="L87" s="100" t="s">
        <v>393</v>
      </c>
      <c r="M87" s="100" t="s">
        <v>941</v>
      </c>
      <c r="N87" s="100" t="s">
        <v>565</v>
      </c>
      <c r="O87" s="100" t="s">
        <v>393</v>
      </c>
      <c r="P87" s="100" t="s">
        <v>393</v>
      </c>
      <c r="Q87" s="108">
        <f>ROUND((G87+K87+P87)*4%,0)</f>
        <v>25</v>
      </c>
      <c r="R87" s="108">
        <f>ROUND((G87+K87+P87)*3%,0)</f>
        <v>18</v>
      </c>
      <c r="S87" s="108">
        <f>ROUND(G87*2%,0)</f>
        <v>12</v>
      </c>
      <c r="T87" s="100">
        <v>0</v>
      </c>
      <c r="U87" s="100" t="s">
        <v>884</v>
      </c>
      <c r="V87" s="101" t="s">
        <v>942</v>
      </c>
      <c r="W87" s="100" t="s">
        <v>934</v>
      </c>
      <c r="X87" s="100" t="s">
        <v>402</v>
      </c>
      <c r="Y87" s="100" t="s">
        <v>943</v>
      </c>
      <c r="Z87" s="100" t="s">
        <v>822</v>
      </c>
      <c r="AA87" s="100" t="s">
        <v>847</v>
      </c>
      <c r="AB87" s="100">
        <v>1</v>
      </c>
      <c r="AC87" s="100" t="s">
        <v>447</v>
      </c>
      <c r="AD87" s="100" t="s">
        <v>944</v>
      </c>
      <c r="AE87" s="100" t="s">
        <v>945</v>
      </c>
      <c r="AF87" s="100" t="s">
        <v>946</v>
      </c>
      <c r="AG87" s="100" t="s">
        <v>947</v>
      </c>
      <c r="AH87" s="100" t="s">
        <v>822</v>
      </c>
      <c r="AI87" s="100" t="s">
        <v>822</v>
      </c>
      <c r="AJ87" s="100" t="s">
        <v>822</v>
      </c>
      <c r="AK87" s="100" t="s">
        <v>948</v>
      </c>
      <c r="AL87" s="100" t="s">
        <v>453</v>
      </c>
      <c r="AM87" s="100" t="s">
        <v>410</v>
      </c>
      <c r="AN87" s="100" t="s">
        <v>822</v>
      </c>
      <c r="AO87" s="100" t="s">
        <v>836</v>
      </c>
      <c r="AP87" s="100" t="s">
        <v>949</v>
      </c>
      <c r="AQ87" s="100" t="s">
        <v>950</v>
      </c>
      <c r="AR87" s="100" t="s">
        <v>939</v>
      </c>
      <c r="AS87" s="100" t="s">
        <v>951</v>
      </c>
      <c r="AT87" s="100" t="s">
        <v>952</v>
      </c>
      <c r="AU87" s="100" t="s">
        <v>822</v>
      </c>
    </row>
    <row r="88" spans="1:47" ht="15" x14ac:dyDescent="0.3">
      <c r="A88" s="100" t="s">
        <v>937</v>
      </c>
      <c r="B88" s="100" t="s">
        <v>389</v>
      </c>
      <c r="C88" s="100" t="s">
        <v>822</v>
      </c>
      <c r="D88" s="100" t="s">
        <v>822</v>
      </c>
      <c r="E88" s="100" t="s">
        <v>938</v>
      </c>
      <c r="F88" s="100" t="s">
        <v>939</v>
      </c>
      <c r="G88" s="100" t="s">
        <v>940</v>
      </c>
      <c r="H88" s="100" t="s">
        <v>393</v>
      </c>
      <c r="I88" s="100" t="s">
        <v>940</v>
      </c>
      <c r="J88" s="100" t="s">
        <v>393</v>
      </c>
      <c r="K88" s="100">
        <v>0</v>
      </c>
      <c r="L88" s="100" t="s">
        <v>393</v>
      </c>
      <c r="M88" s="100" t="s">
        <v>941</v>
      </c>
      <c r="N88" s="100" t="s">
        <v>565</v>
      </c>
      <c r="O88" s="100" t="s">
        <v>393</v>
      </c>
      <c r="P88" s="100" t="s">
        <v>393</v>
      </c>
      <c r="Q88" s="100" t="s">
        <v>953</v>
      </c>
      <c r="R88" s="100" t="s">
        <v>954</v>
      </c>
      <c r="S88" s="100" t="s">
        <v>425</v>
      </c>
      <c r="T88" s="100">
        <v>0</v>
      </c>
      <c r="U88" s="100" t="s">
        <v>884</v>
      </c>
      <c r="V88" s="101" t="s">
        <v>942</v>
      </c>
      <c r="W88" s="100" t="s">
        <v>955</v>
      </c>
      <c r="X88" s="100" t="s">
        <v>402</v>
      </c>
      <c r="Y88" s="100" t="s">
        <v>943</v>
      </c>
      <c r="Z88" s="100" t="s">
        <v>822</v>
      </c>
      <c r="AA88" s="100" t="s">
        <v>847</v>
      </c>
      <c r="AB88" s="100">
        <v>1</v>
      </c>
      <c r="AC88" s="100" t="s">
        <v>447</v>
      </c>
      <c r="AD88" s="100" t="s">
        <v>944</v>
      </c>
      <c r="AE88" s="100" t="s">
        <v>945</v>
      </c>
      <c r="AF88" s="100" t="s">
        <v>946</v>
      </c>
      <c r="AG88" s="100" t="s">
        <v>947</v>
      </c>
      <c r="AH88" s="100" t="s">
        <v>822</v>
      </c>
      <c r="AI88" s="100" t="s">
        <v>822</v>
      </c>
      <c r="AJ88" s="100" t="s">
        <v>822</v>
      </c>
      <c r="AK88" s="100" t="s">
        <v>948</v>
      </c>
      <c r="AL88" s="100" t="s">
        <v>453</v>
      </c>
      <c r="AM88" s="100" t="s">
        <v>410</v>
      </c>
      <c r="AN88" s="100" t="s">
        <v>822</v>
      </c>
      <c r="AO88" s="100" t="s">
        <v>836</v>
      </c>
      <c r="AP88" s="100" t="s">
        <v>949</v>
      </c>
      <c r="AQ88" s="100" t="s">
        <v>950</v>
      </c>
      <c r="AR88" s="100" t="s">
        <v>939</v>
      </c>
      <c r="AS88" s="100" t="s">
        <v>951</v>
      </c>
      <c r="AT88" s="100" t="s">
        <v>952</v>
      </c>
      <c r="AU88" s="100" t="s">
        <v>822</v>
      </c>
    </row>
    <row r="89" spans="1:47" ht="15" x14ac:dyDescent="0.3">
      <c r="A89" s="100" t="s">
        <v>937</v>
      </c>
      <c r="B89" s="100" t="s">
        <v>389</v>
      </c>
      <c r="C89" s="100" t="s">
        <v>822</v>
      </c>
      <c r="D89" s="100" t="s">
        <v>822</v>
      </c>
      <c r="E89" s="100" t="s">
        <v>938</v>
      </c>
      <c r="F89" s="100" t="s">
        <v>939</v>
      </c>
      <c r="G89" s="100" t="s">
        <v>940</v>
      </c>
      <c r="H89" s="100" t="s">
        <v>393</v>
      </c>
      <c r="I89" s="100" t="s">
        <v>940</v>
      </c>
      <c r="J89" s="100" t="s">
        <v>393</v>
      </c>
      <c r="K89" s="100">
        <v>0</v>
      </c>
      <c r="L89" s="100" t="s">
        <v>393</v>
      </c>
      <c r="M89" s="100" t="s">
        <v>941</v>
      </c>
      <c r="N89" s="100" t="s">
        <v>565</v>
      </c>
      <c r="O89" s="100" t="s">
        <v>393</v>
      </c>
      <c r="P89" s="100" t="s">
        <v>393</v>
      </c>
      <c r="Q89" s="100" t="s">
        <v>953</v>
      </c>
      <c r="R89" s="100" t="s">
        <v>954</v>
      </c>
      <c r="S89" s="100" t="s">
        <v>425</v>
      </c>
      <c r="T89" s="100">
        <v>0</v>
      </c>
      <c r="U89" s="100" t="s">
        <v>884</v>
      </c>
      <c r="V89" s="101" t="s">
        <v>942</v>
      </c>
      <c r="W89" s="100" t="s">
        <v>956</v>
      </c>
      <c r="X89" s="100" t="s">
        <v>402</v>
      </c>
      <c r="Y89" s="100" t="s">
        <v>943</v>
      </c>
      <c r="Z89" s="100" t="s">
        <v>822</v>
      </c>
      <c r="AA89" s="100" t="s">
        <v>847</v>
      </c>
      <c r="AB89" s="100">
        <v>1</v>
      </c>
      <c r="AC89" s="100" t="s">
        <v>447</v>
      </c>
      <c r="AD89" s="100" t="s">
        <v>944</v>
      </c>
      <c r="AE89" s="100" t="s">
        <v>945</v>
      </c>
      <c r="AF89" s="100" t="s">
        <v>946</v>
      </c>
      <c r="AG89" s="100" t="s">
        <v>947</v>
      </c>
      <c r="AH89" s="100" t="s">
        <v>822</v>
      </c>
      <c r="AI89" s="100" t="s">
        <v>822</v>
      </c>
      <c r="AJ89" s="100" t="s">
        <v>822</v>
      </c>
      <c r="AK89" s="100" t="s">
        <v>948</v>
      </c>
      <c r="AL89" s="100" t="s">
        <v>453</v>
      </c>
      <c r="AM89" s="100" t="s">
        <v>410</v>
      </c>
      <c r="AN89" s="100" t="s">
        <v>822</v>
      </c>
      <c r="AO89" s="100" t="s">
        <v>836</v>
      </c>
      <c r="AP89" s="100" t="s">
        <v>949</v>
      </c>
      <c r="AQ89" s="100" t="s">
        <v>950</v>
      </c>
      <c r="AR89" s="100" t="s">
        <v>939</v>
      </c>
      <c r="AS89" s="100" t="s">
        <v>951</v>
      </c>
      <c r="AT89" s="100" t="s">
        <v>952</v>
      </c>
      <c r="AU89" s="100" t="s">
        <v>822</v>
      </c>
    </row>
    <row r="90" spans="1:47" ht="15" x14ac:dyDescent="0.3">
      <c r="A90" s="100" t="s">
        <v>937</v>
      </c>
      <c r="B90" s="100" t="s">
        <v>389</v>
      </c>
      <c r="C90" s="100" t="s">
        <v>822</v>
      </c>
      <c r="D90" s="100" t="s">
        <v>822</v>
      </c>
      <c r="E90" s="100" t="s">
        <v>938</v>
      </c>
      <c r="F90" s="100" t="s">
        <v>939</v>
      </c>
      <c r="G90" s="100" t="s">
        <v>940</v>
      </c>
      <c r="H90" s="100" t="s">
        <v>393</v>
      </c>
      <c r="I90" s="100" t="s">
        <v>940</v>
      </c>
      <c r="J90" s="100" t="s">
        <v>393</v>
      </c>
      <c r="K90" s="100">
        <v>0</v>
      </c>
      <c r="L90" s="100" t="s">
        <v>393</v>
      </c>
      <c r="M90" s="100" t="s">
        <v>941</v>
      </c>
      <c r="N90" s="100" t="s">
        <v>565</v>
      </c>
      <c r="O90" s="100" t="s">
        <v>393</v>
      </c>
      <c r="P90" s="100" t="s">
        <v>393</v>
      </c>
      <c r="Q90" s="100" t="s">
        <v>953</v>
      </c>
      <c r="R90" s="100" t="s">
        <v>954</v>
      </c>
      <c r="S90" s="100" t="s">
        <v>425</v>
      </c>
      <c r="T90" s="100">
        <v>0</v>
      </c>
      <c r="U90" s="100" t="s">
        <v>884</v>
      </c>
      <c r="V90" s="101" t="s">
        <v>942</v>
      </c>
      <c r="W90" s="100" t="s">
        <v>510</v>
      </c>
      <c r="X90" s="100" t="s">
        <v>402</v>
      </c>
      <c r="Y90" s="100" t="s">
        <v>943</v>
      </c>
      <c r="Z90" s="100" t="s">
        <v>822</v>
      </c>
      <c r="AA90" s="100" t="s">
        <v>847</v>
      </c>
      <c r="AB90" s="100">
        <v>1</v>
      </c>
      <c r="AC90" s="100" t="s">
        <v>447</v>
      </c>
      <c r="AD90" s="100" t="s">
        <v>944</v>
      </c>
      <c r="AE90" s="100" t="s">
        <v>945</v>
      </c>
      <c r="AF90" s="100" t="s">
        <v>946</v>
      </c>
      <c r="AG90" s="100" t="s">
        <v>947</v>
      </c>
      <c r="AH90" s="100" t="s">
        <v>822</v>
      </c>
      <c r="AI90" s="100" t="s">
        <v>822</v>
      </c>
      <c r="AJ90" s="100" t="s">
        <v>822</v>
      </c>
      <c r="AK90" s="100" t="s">
        <v>948</v>
      </c>
      <c r="AL90" s="100" t="s">
        <v>453</v>
      </c>
      <c r="AM90" s="100" t="s">
        <v>410</v>
      </c>
      <c r="AN90" s="100" t="s">
        <v>822</v>
      </c>
      <c r="AO90" s="100" t="s">
        <v>836</v>
      </c>
      <c r="AP90" s="100" t="s">
        <v>949</v>
      </c>
      <c r="AQ90" s="100" t="s">
        <v>950</v>
      </c>
      <c r="AR90" s="100" t="s">
        <v>939</v>
      </c>
      <c r="AS90" s="100" t="s">
        <v>951</v>
      </c>
      <c r="AT90" s="100" t="s">
        <v>952</v>
      </c>
      <c r="AU90" s="100" t="s">
        <v>822</v>
      </c>
    </row>
    <row r="91" spans="1:47" ht="15" x14ac:dyDescent="0.3">
      <c r="A91" s="100" t="s">
        <v>937</v>
      </c>
      <c r="B91" s="100" t="s">
        <v>389</v>
      </c>
      <c r="C91" s="100" t="s">
        <v>822</v>
      </c>
      <c r="D91" s="100" t="s">
        <v>822</v>
      </c>
      <c r="E91" s="100" t="s">
        <v>938</v>
      </c>
      <c r="F91" s="100" t="s">
        <v>939</v>
      </c>
      <c r="G91" s="100" t="s">
        <v>940</v>
      </c>
      <c r="H91" s="100" t="s">
        <v>393</v>
      </c>
      <c r="I91" s="100" t="s">
        <v>940</v>
      </c>
      <c r="J91" s="100" t="s">
        <v>393</v>
      </c>
      <c r="K91" s="100">
        <v>0</v>
      </c>
      <c r="L91" s="100" t="s">
        <v>393</v>
      </c>
      <c r="M91" s="100" t="s">
        <v>941</v>
      </c>
      <c r="N91" s="100" t="s">
        <v>565</v>
      </c>
      <c r="O91" s="100" t="s">
        <v>393</v>
      </c>
      <c r="P91" s="100" t="s">
        <v>393</v>
      </c>
      <c r="Q91" s="100" t="s">
        <v>953</v>
      </c>
      <c r="R91" s="100" t="s">
        <v>954</v>
      </c>
      <c r="S91" s="100" t="s">
        <v>425</v>
      </c>
      <c r="T91" s="100">
        <v>0</v>
      </c>
      <c r="U91" s="100" t="s">
        <v>884</v>
      </c>
      <c r="V91" s="101" t="s">
        <v>942</v>
      </c>
      <c r="W91" s="100" t="s">
        <v>511</v>
      </c>
      <c r="X91" s="100" t="s">
        <v>402</v>
      </c>
      <c r="Y91" s="100" t="s">
        <v>943</v>
      </c>
      <c r="Z91" s="100" t="s">
        <v>822</v>
      </c>
      <c r="AA91" s="100" t="s">
        <v>847</v>
      </c>
      <c r="AB91" s="100">
        <v>1</v>
      </c>
      <c r="AC91" s="100" t="s">
        <v>447</v>
      </c>
      <c r="AD91" s="100" t="s">
        <v>944</v>
      </c>
      <c r="AE91" s="100" t="s">
        <v>945</v>
      </c>
      <c r="AF91" s="100" t="s">
        <v>946</v>
      </c>
      <c r="AG91" s="100" t="s">
        <v>947</v>
      </c>
      <c r="AH91" s="100" t="s">
        <v>822</v>
      </c>
      <c r="AI91" s="100" t="s">
        <v>822</v>
      </c>
      <c r="AJ91" s="100" t="s">
        <v>822</v>
      </c>
      <c r="AK91" s="100" t="s">
        <v>948</v>
      </c>
      <c r="AL91" s="100" t="s">
        <v>453</v>
      </c>
      <c r="AM91" s="100" t="s">
        <v>410</v>
      </c>
      <c r="AN91" s="100" t="s">
        <v>822</v>
      </c>
      <c r="AO91" s="100" t="s">
        <v>836</v>
      </c>
      <c r="AP91" s="100" t="s">
        <v>949</v>
      </c>
      <c r="AQ91" s="100" t="s">
        <v>950</v>
      </c>
      <c r="AR91" s="100" t="s">
        <v>939</v>
      </c>
      <c r="AS91" s="100" t="s">
        <v>951</v>
      </c>
      <c r="AT91" s="100" t="s">
        <v>952</v>
      </c>
      <c r="AU91" s="100" t="s">
        <v>822</v>
      </c>
    </row>
    <row r="92" spans="1:47" ht="15" x14ac:dyDescent="0.3">
      <c r="A92" s="100" t="s">
        <v>937</v>
      </c>
      <c r="B92" s="100" t="s">
        <v>389</v>
      </c>
      <c r="C92" s="100" t="s">
        <v>822</v>
      </c>
      <c r="D92" s="100" t="s">
        <v>822</v>
      </c>
      <c r="E92" s="100" t="s">
        <v>938</v>
      </c>
      <c r="F92" s="100" t="s">
        <v>939</v>
      </c>
      <c r="G92" s="100" t="s">
        <v>940</v>
      </c>
      <c r="H92" s="100" t="s">
        <v>393</v>
      </c>
      <c r="I92" s="100" t="s">
        <v>940</v>
      </c>
      <c r="J92" s="100" t="s">
        <v>393</v>
      </c>
      <c r="K92" s="100">
        <v>0</v>
      </c>
      <c r="L92" s="100" t="s">
        <v>393</v>
      </c>
      <c r="M92" s="100" t="s">
        <v>941</v>
      </c>
      <c r="N92" s="100" t="s">
        <v>565</v>
      </c>
      <c r="O92" s="100" t="s">
        <v>393</v>
      </c>
      <c r="P92" s="100" t="s">
        <v>393</v>
      </c>
      <c r="Q92" s="100" t="s">
        <v>953</v>
      </c>
      <c r="R92" s="100" t="s">
        <v>954</v>
      </c>
      <c r="S92" s="100" t="s">
        <v>425</v>
      </c>
      <c r="T92" s="100">
        <v>0</v>
      </c>
      <c r="U92" s="100" t="s">
        <v>884</v>
      </c>
      <c r="V92" s="101" t="s">
        <v>942</v>
      </c>
      <c r="W92" s="100" t="s">
        <v>957</v>
      </c>
      <c r="X92" s="100" t="s">
        <v>402</v>
      </c>
      <c r="Y92" s="100" t="s">
        <v>943</v>
      </c>
      <c r="Z92" s="100" t="s">
        <v>822</v>
      </c>
      <c r="AA92" s="100" t="s">
        <v>847</v>
      </c>
      <c r="AB92" s="100">
        <v>1</v>
      </c>
      <c r="AC92" s="100" t="s">
        <v>447</v>
      </c>
      <c r="AD92" s="100" t="s">
        <v>944</v>
      </c>
      <c r="AE92" s="100" t="s">
        <v>945</v>
      </c>
      <c r="AF92" s="100" t="s">
        <v>946</v>
      </c>
      <c r="AG92" s="100" t="s">
        <v>947</v>
      </c>
      <c r="AH92" s="100" t="s">
        <v>822</v>
      </c>
      <c r="AI92" s="100" t="s">
        <v>822</v>
      </c>
      <c r="AJ92" s="100" t="s">
        <v>822</v>
      </c>
      <c r="AK92" s="100" t="s">
        <v>948</v>
      </c>
      <c r="AL92" s="100" t="s">
        <v>453</v>
      </c>
      <c r="AM92" s="100" t="s">
        <v>410</v>
      </c>
      <c r="AN92" s="100" t="s">
        <v>822</v>
      </c>
      <c r="AO92" s="100" t="s">
        <v>836</v>
      </c>
      <c r="AP92" s="100" t="s">
        <v>949</v>
      </c>
      <c r="AQ92" s="100" t="s">
        <v>950</v>
      </c>
      <c r="AR92" s="100" t="s">
        <v>939</v>
      </c>
      <c r="AS92" s="100" t="s">
        <v>951</v>
      </c>
      <c r="AT92" s="100" t="s">
        <v>952</v>
      </c>
      <c r="AU92" s="100" t="s">
        <v>822</v>
      </c>
    </row>
    <row r="93" spans="1:47" ht="15" x14ac:dyDescent="0.3">
      <c r="A93" s="100" t="s">
        <v>937</v>
      </c>
      <c r="B93" s="100" t="s">
        <v>389</v>
      </c>
      <c r="C93" s="100" t="s">
        <v>822</v>
      </c>
      <c r="D93" s="100" t="s">
        <v>822</v>
      </c>
      <c r="E93" s="100" t="s">
        <v>938</v>
      </c>
      <c r="F93" s="100" t="s">
        <v>939</v>
      </c>
      <c r="G93" s="100" t="s">
        <v>940</v>
      </c>
      <c r="H93" s="100" t="s">
        <v>393</v>
      </c>
      <c r="I93" s="100" t="s">
        <v>940</v>
      </c>
      <c r="J93" s="100" t="s">
        <v>393</v>
      </c>
      <c r="K93" s="100">
        <v>0</v>
      </c>
      <c r="L93" s="100" t="s">
        <v>393</v>
      </c>
      <c r="M93" s="100" t="s">
        <v>941</v>
      </c>
      <c r="N93" s="100" t="s">
        <v>565</v>
      </c>
      <c r="O93" s="100" t="s">
        <v>393</v>
      </c>
      <c r="P93" s="100" t="s">
        <v>393</v>
      </c>
      <c r="Q93" s="100" t="s">
        <v>953</v>
      </c>
      <c r="R93" s="100" t="s">
        <v>954</v>
      </c>
      <c r="S93" s="100" t="s">
        <v>425</v>
      </c>
      <c r="T93" s="100">
        <v>0</v>
      </c>
      <c r="U93" s="100" t="s">
        <v>884</v>
      </c>
      <c r="V93" s="101" t="s">
        <v>942</v>
      </c>
      <c r="W93" s="100" t="s">
        <v>958</v>
      </c>
      <c r="X93" s="100" t="s">
        <v>402</v>
      </c>
      <c r="Y93" s="100" t="s">
        <v>943</v>
      </c>
      <c r="Z93" s="100" t="s">
        <v>822</v>
      </c>
      <c r="AA93" s="100" t="s">
        <v>847</v>
      </c>
      <c r="AB93" s="100">
        <v>1</v>
      </c>
      <c r="AC93" s="100" t="s">
        <v>447</v>
      </c>
      <c r="AD93" s="100" t="s">
        <v>944</v>
      </c>
      <c r="AE93" s="100" t="s">
        <v>945</v>
      </c>
      <c r="AF93" s="100" t="s">
        <v>946</v>
      </c>
      <c r="AG93" s="100" t="s">
        <v>947</v>
      </c>
      <c r="AH93" s="100" t="s">
        <v>822</v>
      </c>
      <c r="AI93" s="100" t="s">
        <v>822</v>
      </c>
      <c r="AJ93" s="100" t="s">
        <v>822</v>
      </c>
      <c r="AK93" s="100" t="s">
        <v>948</v>
      </c>
      <c r="AL93" s="100" t="s">
        <v>453</v>
      </c>
      <c r="AM93" s="100" t="s">
        <v>410</v>
      </c>
      <c r="AN93" s="100" t="s">
        <v>822</v>
      </c>
      <c r="AO93" s="100" t="s">
        <v>836</v>
      </c>
      <c r="AP93" s="100" t="s">
        <v>949</v>
      </c>
      <c r="AQ93" s="100" t="s">
        <v>950</v>
      </c>
      <c r="AR93" s="100" t="s">
        <v>939</v>
      </c>
      <c r="AS93" s="100" t="s">
        <v>951</v>
      </c>
      <c r="AT93" s="100" t="s">
        <v>952</v>
      </c>
      <c r="AU93" s="100" t="s">
        <v>822</v>
      </c>
    </row>
    <row r="94" spans="1:47" ht="15" x14ac:dyDescent="0.3">
      <c r="A94" s="100" t="s">
        <v>937</v>
      </c>
      <c r="B94" s="100" t="s">
        <v>389</v>
      </c>
      <c r="C94" s="100" t="s">
        <v>822</v>
      </c>
      <c r="D94" s="100" t="s">
        <v>822</v>
      </c>
      <c r="E94" s="100" t="s">
        <v>938</v>
      </c>
      <c r="F94" s="100" t="s">
        <v>939</v>
      </c>
      <c r="G94" s="100" t="s">
        <v>940</v>
      </c>
      <c r="H94" s="100" t="s">
        <v>393</v>
      </c>
      <c r="I94" s="100" t="s">
        <v>940</v>
      </c>
      <c r="J94" s="100" t="s">
        <v>393</v>
      </c>
      <c r="K94" s="100">
        <v>0</v>
      </c>
      <c r="L94" s="100" t="s">
        <v>393</v>
      </c>
      <c r="M94" s="100" t="s">
        <v>941</v>
      </c>
      <c r="N94" s="100" t="s">
        <v>565</v>
      </c>
      <c r="O94" s="100" t="s">
        <v>393</v>
      </c>
      <c r="P94" s="100" t="s">
        <v>393</v>
      </c>
      <c r="Q94" s="100" t="s">
        <v>953</v>
      </c>
      <c r="R94" s="100" t="s">
        <v>954</v>
      </c>
      <c r="S94" s="100" t="s">
        <v>425</v>
      </c>
      <c r="T94" s="100">
        <v>0</v>
      </c>
      <c r="U94" s="100" t="s">
        <v>884</v>
      </c>
      <c r="V94" s="101" t="s">
        <v>942</v>
      </c>
      <c r="W94" s="100" t="s">
        <v>959</v>
      </c>
      <c r="X94" s="100" t="s">
        <v>402</v>
      </c>
      <c r="Y94" s="100" t="s">
        <v>943</v>
      </c>
      <c r="Z94" s="100" t="s">
        <v>822</v>
      </c>
      <c r="AA94" s="100" t="s">
        <v>847</v>
      </c>
      <c r="AB94" s="100">
        <v>1</v>
      </c>
      <c r="AC94" s="100" t="s">
        <v>447</v>
      </c>
      <c r="AD94" s="100" t="s">
        <v>944</v>
      </c>
      <c r="AE94" s="100" t="s">
        <v>945</v>
      </c>
      <c r="AF94" s="100" t="s">
        <v>946</v>
      </c>
      <c r="AG94" s="100" t="s">
        <v>947</v>
      </c>
      <c r="AH94" s="100" t="s">
        <v>822</v>
      </c>
      <c r="AI94" s="100" t="s">
        <v>822</v>
      </c>
      <c r="AJ94" s="100" t="s">
        <v>822</v>
      </c>
      <c r="AK94" s="100" t="s">
        <v>948</v>
      </c>
      <c r="AL94" s="100" t="s">
        <v>453</v>
      </c>
      <c r="AM94" s="100" t="s">
        <v>410</v>
      </c>
      <c r="AN94" s="100" t="s">
        <v>822</v>
      </c>
      <c r="AO94" s="100" t="s">
        <v>836</v>
      </c>
      <c r="AP94" s="100" t="s">
        <v>949</v>
      </c>
      <c r="AQ94" s="100" t="s">
        <v>950</v>
      </c>
      <c r="AR94" s="100" t="s">
        <v>939</v>
      </c>
      <c r="AS94" s="100" t="s">
        <v>951</v>
      </c>
      <c r="AT94" s="100" t="s">
        <v>952</v>
      </c>
      <c r="AU94" s="100" t="s">
        <v>822</v>
      </c>
    </row>
    <row r="95" spans="1:47" ht="15" x14ac:dyDescent="0.3">
      <c r="A95" s="100" t="s">
        <v>937</v>
      </c>
      <c r="B95" s="100" t="s">
        <v>389</v>
      </c>
      <c r="C95" s="100" t="s">
        <v>822</v>
      </c>
      <c r="D95" s="100" t="s">
        <v>822</v>
      </c>
      <c r="E95" s="100" t="s">
        <v>938</v>
      </c>
      <c r="F95" s="100" t="s">
        <v>939</v>
      </c>
      <c r="G95" s="100" t="s">
        <v>940</v>
      </c>
      <c r="H95" s="100" t="s">
        <v>393</v>
      </c>
      <c r="I95" s="100" t="s">
        <v>940</v>
      </c>
      <c r="J95" s="100" t="s">
        <v>393</v>
      </c>
      <c r="K95" s="100">
        <v>0</v>
      </c>
      <c r="L95" s="100" t="s">
        <v>393</v>
      </c>
      <c r="M95" s="100" t="s">
        <v>941</v>
      </c>
      <c r="N95" s="100" t="s">
        <v>565</v>
      </c>
      <c r="O95" s="100" t="s">
        <v>393</v>
      </c>
      <c r="P95" s="100" t="s">
        <v>393</v>
      </c>
      <c r="Q95" s="100" t="s">
        <v>953</v>
      </c>
      <c r="R95" s="100" t="s">
        <v>954</v>
      </c>
      <c r="S95" s="100" t="s">
        <v>425</v>
      </c>
      <c r="T95" s="100">
        <v>0</v>
      </c>
      <c r="U95" s="100" t="s">
        <v>884</v>
      </c>
      <c r="V95" s="101" t="s">
        <v>942</v>
      </c>
      <c r="W95" s="100" t="s">
        <v>960</v>
      </c>
      <c r="X95" s="100" t="s">
        <v>402</v>
      </c>
      <c r="Y95" s="100" t="s">
        <v>943</v>
      </c>
      <c r="Z95" s="100" t="s">
        <v>822</v>
      </c>
      <c r="AA95" s="100" t="s">
        <v>847</v>
      </c>
      <c r="AB95" s="100">
        <v>1</v>
      </c>
      <c r="AC95" s="100" t="s">
        <v>447</v>
      </c>
      <c r="AD95" s="100" t="s">
        <v>944</v>
      </c>
      <c r="AE95" s="100" t="s">
        <v>945</v>
      </c>
      <c r="AF95" s="100" t="s">
        <v>946</v>
      </c>
      <c r="AG95" s="100" t="s">
        <v>947</v>
      </c>
      <c r="AH95" s="100" t="s">
        <v>822</v>
      </c>
      <c r="AI95" s="100" t="s">
        <v>822</v>
      </c>
      <c r="AJ95" s="100" t="s">
        <v>822</v>
      </c>
      <c r="AK95" s="100" t="s">
        <v>948</v>
      </c>
      <c r="AL95" s="100" t="s">
        <v>453</v>
      </c>
      <c r="AM95" s="100" t="s">
        <v>410</v>
      </c>
      <c r="AN95" s="100" t="s">
        <v>822</v>
      </c>
      <c r="AO95" s="100" t="s">
        <v>836</v>
      </c>
      <c r="AP95" s="100" t="s">
        <v>949</v>
      </c>
      <c r="AQ95" s="100" t="s">
        <v>950</v>
      </c>
      <c r="AR95" s="100" t="s">
        <v>939</v>
      </c>
      <c r="AS95" s="100" t="s">
        <v>951</v>
      </c>
      <c r="AT95" s="100" t="s">
        <v>952</v>
      </c>
      <c r="AU95" s="100" t="s">
        <v>822</v>
      </c>
    </row>
    <row r="96" spans="1:47" ht="15" x14ac:dyDescent="0.3">
      <c r="A96" s="100" t="s">
        <v>937</v>
      </c>
      <c r="B96" s="100" t="s">
        <v>389</v>
      </c>
      <c r="C96" s="100" t="s">
        <v>822</v>
      </c>
      <c r="D96" s="100" t="s">
        <v>822</v>
      </c>
      <c r="E96" s="100" t="s">
        <v>938</v>
      </c>
      <c r="F96" s="100" t="s">
        <v>939</v>
      </c>
      <c r="G96" s="100" t="s">
        <v>940</v>
      </c>
      <c r="H96" s="100" t="s">
        <v>393</v>
      </c>
      <c r="I96" s="100" t="s">
        <v>940</v>
      </c>
      <c r="J96" s="100" t="s">
        <v>393</v>
      </c>
      <c r="K96" s="100">
        <v>0</v>
      </c>
      <c r="L96" s="100" t="s">
        <v>393</v>
      </c>
      <c r="M96" s="100" t="s">
        <v>941</v>
      </c>
      <c r="N96" s="100" t="s">
        <v>565</v>
      </c>
      <c r="O96" s="100" t="s">
        <v>393</v>
      </c>
      <c r="P96" s="100" t="s">
        <v>393</v>
      </c>
      <c r="Q96" s="100" t="s">
        <v>953</v>
      </c>
      <c r="R96" s="100" t="s">
        <v>954</v>
      </c>
      <c r="S96" s="100" t="s">
        <v>425</v>
      </c>
      <c r="T96" s="100">
        <v>0</v>
      </c>
      <c r="U96" s="100" t="s">
        <v>884</v>
      </c>
      <c r="V96" s="101" t="s">
        <v>942</v>
      </c>
      <c r="W96" s="100" t="s">
        <v>961</v>
      </c>
      <c r="X96" s="100" t="s">
        <v>402</v>
      </c>
      <c r="Y96" s="100" t="s">
        <v>943</v>
      </c>
      <c r="Z96" s="100" t="s">
        <v>822</v>
      </c>
      <c r="AA96" s="100" t="s">
        <v>847</v>
      </c>
      <c r="AB96" s="100">
        <v>1</v>
      </c>
      <c r="AC96" s="100" t="s">
        <v>447</v>
      </c>
      <c r="AD96" s="100" t="s">
        <v>944</v>
      </c>
      <c r="AE96" s="100" t="s">
        <v>945</v>
      </c>
      <c r="AF96" s="100" t="s">
        <v>946</v>
      </c>
      <c r="AG96" s="100" t="s">
        <v>947</v>
      </c>
      <c r="AH96" s="100" t="s">
        <v>822</v>
      </c>
      <c r="AI96" s="100" t="s">
        <v>822</v>
      </c>
      <c r="AJ96" s="100" t="s">
        <v>822</v>
      </c>
      <c r="AK96" s="100" t="s">
        <v>948</v>
      </c>
      <c r="AL96" s="100" t="s">
        <v>453</v>
      </c>
      <c r="AM96" s="100" t="s">
        <v>410</v>
      </c>
      <c r="AN96" s="100" t="s">
        <v>822</v>
      </c>
      <c r="AO96" s="100" t="s">
        <v>836</v>
      </c>
      <c r="AP96" s="100" t="s">
        <v>949</v>
      </c>
      <c r="AQ96" s="100" t="s">
        <v>950</v>
      </c>
      <c r="AR96" s="100" t="s">
        <v>939</v>
      </c>
      <c r="AS96" s="100" t="s">
        <v>951</v>
      </c>
      <c r="AT96" s="100" t="s">
        <v>952</v>
      </c>
      <c r="AU96" s="100" t="s">
        <v>822</v>
      </c>
    </row>
  </sheetData>
  <autoFilter ref="A1:AW96" xr:uid="{00000000-0009-0000-0000-000005000000}"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 filterMode="1"/>
  <dimension ref="A1:Q46"/>
  <sheetViews>
    <sheetView zoomScaleNormal="100" workbookViewId="0">
      <selection activeCell="H44" sqref="H44"/>
    </sheetView>
  </sheetViews>
  <sheetFormatPr defaultColWidth="8.88671875" defaultRowHeight="14.4" x14ac:dyDescent="0.25"/>
  <cols>
    <col min="1" max="1" width="10" style="21" bestFit="1" customWidth="1"/>
    <col min="2" max="2" width="20.6640625" style="43" bestFit="1" customWidth="1"/>
    <col min="3" max="3" width="18.77734375" style="21" customWidth="1"/>
    <col min="4" max="4" width="9.77734375" style="21" bestFit="1" customWidth="1"/>
    <col min="5" max="5" width="14.109375" style="21" bestFit="1" customWidth="1"/>
    <col min="6" max="7" width="16.109375" style="21" bestFit="1" customWidth="1"/>
    <col min="8" max="8" width="18.21875" style="21" bestFit="1" customWidth="1"/>
    <col min="9" max="10" width="14.109375" style="21" bestFit="1" customWidth="1"/>
    <col min="11" max="11" width="7.77734375" style="21" bestFit="1" customWidth="1"/>
    <col min="12" max="12" width="14.109375" style="21" bestFit="1" customWidth="1"/>
    <col min="13" max="13" width="8.6640625" style="21" bestFit="1" customWidth="1"/>
    <col min="14" max="14" width="7.77734375" style="21" bestFit="1" customWidth="1"/>
    <col min="15" max="15" width="149" style="21" bestFit="1" customWidth="1"/>
    <col min="16" max="16" width="9.5546875" style="21" bestFit="1" customWidth="1"/>
    <col min="17" max="17" width="9.44140625" style="21" bestFit="1" customWidth="1"/>
    <col min="18" max="18" width="18.6640625" style="21" bestFit="1" customWidth="1"/>
    <col min="19" max="16384" width="8.88671875" style="21"/>
  </cols>
  <sheetData>
    <row r="1" spans="1:17" s="41" customFormat="1" x14ac:dyDescent="0.25">
      <c r="A1" s="41" t="s">
        <v>48</v>
      </c>
      <c r="B1" s="42" t="s">
        <v>199</v>
      </c>
      <c r="C1" s="41" t="s">
        <v>209</v>
      </c>
      <c r="D1" s="41" t="s">
        <v>49</v>
      </c>
      <c r="E1" s="41" t="s">
        <v>124</v>
      </c>
      <c r="F1" s="41" t="s">
        <v>125</v>
      </c>
      <c r="G1" s="41" t="s">
        <v>188</v>
      </c>
      <c r="H1" s="41" t="s">
        <v>15</v>
      </c>
      <c r="I1" s="41" t="s">
        <v>16</v>
      </c>
      <c r="J1" s="41" t="s">
        <v>17</v>
      </c>
      <c r="K1" s="41" t="s">
        <v>72</v>
      </c>
      <c r="L1" s="41" t="s">
        <v>50</v>
      </c>
      <c r="M1" s="41" t="s">
        <v>51</v>
      </c>
      <c r="N1" s="41" t="s">
        <v>185</v>
      </c>
      <c r="O1" s="41" t="s">
        <v>73</v>
      </c>
    </row>
    <row r="2" spans="1:17" hidden="1" x14ac:dyDescent="0.25">
      <c r="A2" s="78">
        <v>44136</v>
      </c>
      <c r="B2" s="80">
        <v>20110149020462</v>
      </c>
      <c r="C2" s="21" t="s">
        <v>747</v>
      </c>
      <c r="D2" s="21">
        <v>690</v>
      </c>
      <c r="E2" s="21">
        <v>3</v>
      </c>
      <c r="H2" s="21">
        <v>14</v>
      </c>
      <c r="I2" s="21">
        <v>0</v>
      </c>
      <c r="J2" s="21">
        <v>0</v>
      </c>
      <c r="K2" s="21">
        <v>360</v>
      </c>
      <c r="L2" s="21">
        <f>D2-E2-F2-G2-H2-I2-J2-K2</f>
        <v>313</v>
      </c>
      <c r="M2" s="79"/>
      <c r="N2" s="77" t="s">
        <v>328</v>
      </c>
      <c r="O2" s="21" t="s">
        <v>748</v>
      </c>
      <c r="P2" s="21">
        <v>1</v>
      </c>
      <c r="Q2" s="21" t="s">
        <v>466</v>
      </c>
    </row>
    <row r="3" spans="1:17" hidden="1" x14ac:dyDescent="0.25">
      <c r="A3" s="78">
        <v>44136</v>
      </c>
      <c r="B3" s="43" t="s">
        <v>388</v>
      </c>
      <c r="C3" s="21" t="s">
        <v>716</v>
      </c>
      <c r="D3" s="21">
        <v>138</v>
      </c>
      <c r="E3" s="21">
        <v>0</v>
      </c>
      <c r="H3" s="21">
        <v>4</v>
      </c>
      <c r="I3" s="21">
        <v>7</v>
      </c>
      <c r="J3" s="21">
        <v>1</v>
      </c>
      <c r="K3" s="21">
        <v>72</v>
      </c>
      <c r="L3" s="21">
        <f>D3-E3-F3-G3-H3-I3-J3-K3</f>
        <v>54</v>
      </c>
      <c r="M3" s="79"/>
      <c r="N3" s="51" t="s">
        <v>306</v>
      </c>
      <c r="O3" s="21" t="s">
        <v>717</v>
      </c>
      <c r="P3" s="21">
        <v>0.17889908256880735</v>
      </c>
      <c r="Q3" s="21" t="s">
        <v>393</v>
      </c>
    </row>
    <row r="4" spans="1:17" hidden="1" x14ac:dyDescent="0.25">
      <c r="A4" s="78">
        <v>44136</v>
      </c>
      <c r="B4" s="43" t="s">
        <v>438</v>
      </c>
      <c r="C4" s="21" t="s">
        <v>718</v>
      </c>
      <c r="D4" s="21">
        <v>354</v>
      </c>
      <c r="E4" s="21">
        <v>0</v>
      </c>
      <c r="F4" s="21">
        <v>0</v>
      </c>
      <c r="H4" s="21">
        <v>10</v>
      </c>
      <c r="I4" s="21">
        <v>16</v>
      </c>
      <c r="J4" s="21">
        <v>4</v>
      </c>
      <c r="K4" s="21">
        <v>240</v>
      </c>
      <c r="L4" s="21">
        <f>D4-E4-F4-G4-H4-I4-J4-K4</f>
        <v>84</v>
      </c>
      <c r="M4" s="79"/>
      <c r="N4" s="51" t="s">
        <v>306</v>
      </c>
      <c r="O4" s="21" t="s">
        <v>719</v>
      </c>
      <c r="P4" s="21">
        <v>1</v>
      </c>
      <c r="Q4" s="21">
        <v>0</v>
      </c>
    </row>
    <row r="5" spans="1:17" hidden="1" x14ac:dyDescent="0.25">
      <c r="A5" s="78">
        <v>44136</v>
      </c>
      <c r="B5" s="43" t="s">
        <v>460</v>
      </c>
      <c r="C5" s="21" t="s">
        <v>720</v>
      </c>
      <c r="D5" s="21">
        <v>258</v>
      </c>
      <c r="E5" s="21">
        <v>1.6899563318777293</v>
      </c>
      <c r="F5" s="21">
        <v>0</v>
      </c>
      <c r="H5" s="21">
        <v>6.1965065502183405</v>
      </c>
      <c r="I5" s="21">
        <v>12.393013100436681</v>
      </c>
      <c r="J5" s="21">
        <v>2.2532751091703056</v>
      </c>
      <c r="K5" s="21">
        <v>120</v>
      </c>
      <c r="L5" s="21">
        <f>D5-E5-F5-G5-H5-I5-J5-K5</f>
        <v>115.46724890829691</v>
      </c>
      <c r="M5" s="79"/>
      <c r="N5" s="51" t="s">
        <v>306</v>
      </c>
      <c r="O5" s="21" t="s">
        <v>721</v>
      </c>
      <c r="P5" s="21">
        <v>1</v>
      </c>
      <c r="Q5" s="21">
        <v>0</v>
      </c>
    </row>
    <row r="6" spans="1:17" hidden="1" x14ac:dyDescent="0.25">
      <c r="A6" s="78">
        <v>44137</v>
      </c>
      <c r="B6" s="43" t="s">
        <v>483</v>
      </c>
      <c r="C6" s="21" t="s">
        <v>724</v>
      </c>
      <c r="D6" s="21">
        <v>432</v>
      </c>
      <c r="E6" s="21">
        <v>3</v>
      </c>
      <c r="H6" s="21">
        <v>13</v>
      </c>
      <c r="I6" s="21">
        <v>21</v>
      </c>
      <c r="J6" s="21">
        <v>4</v>
      </c>
      <c r="K6" s="21">
        <v>304</v>
      </c>
      <c r="L6" s="21">
        <f>D6-E6-F6-G6-H6-I6-J6-K6</f>
        <v>87</v>
      </c>
      <c r="M6" s="79"/>
      <c r="N6" s="51" t="s">
        <v>306</v>
      </c>
      <c r="O6" s="21" t="s">
        <v>725</v>
      </c>
      <c r="P6" s="21">
        <v>1</v>
      </c>
      <c r="Q6" s="21">
        <v>60</v>
      </c>
    </row>
    <row r="7" spans="1:17" hidden="1" x14ac:dyDescent="0.25">
      <c r="A7" s="78">
        <v>44138</v>
      </c>
      <c r="B7" s="80">
        <v>10001433960951</v>
      </c>
      <c r="C7" s="21" t="s">
        <v>214</v>
      </c>
      <c r="D7" s="21">
        <v>78</v>
      </c>
      <c r="E7" s="21">
        <v>0</v>
      </c>
      <c r="H7" s="21">
        <v>2</v>
      </c>
      <c r="I7" s="21">
        <v>0</v>
      </c>
      <c r="J7" s="21">
        <v>0</v>
      </c>
      <c r="K7" s="21">
        <v>40</v>
      </c>
      <c r="L7" s="21">
        <f>D7-E7-F7-G7-H7-I7-J7-K7</f>
        <v>36</v>
      </c>
      <c r="M7" s="79"/>
      <c r="N7" s="76" t="s">
        <v>708</v>
      </c>
      <c r="O7" s="21" t="s">
        <v>737</v>
      </c>
      <c r="P7" s="21">
        <v>1</v>
      </c>
      <c r="Q7" s="21" t="s">
        <v>393</v>
      </c>
    </row>
    <row r="8" spans="1:17" hidden="1" x14ac:dyDescent="0.25">
      <c r="A8" s="78">
        <v>44144</v>
      </c>
      <c r="B8" s="80">
        <v>20110951724376</v>
      </c>
      <c r="C8" s="21" t="s">
        <v>253</v>
      </c>
      <c r="D8" s="21">
        <v>195</v>
      </c>
      <c r="E8" s="21">
        <v>0</v>
      </c>
      <c r="H8" s="21">
        <v>4</v>
      </c>
      <c r="I8" s="21">
        <v>0</v>
      </c>
      <c r="J8" s="21">
        <v>0</v>
      </c>
      <c r="K8" s="21">
        <v>110</v>
      </c>
      <c r="L8" s="21">
        <f>D8-E8-F8-G8-H8-I8-J8-K8</f>
        <v>81</v>
      </c>
      <c r="M8" s="79"/>
      <c r="N8" s="77" t="s">
        <v>328</v>
      </c>
      <c r="O8" s="21" t="s">
        <v>749</v>
      </c>
      <c r="P8" s="21">
        <v>1</v>
      </c>
      <c r="Q8" s="21" t="s">
        <v>565</v>
      </c>
    </row>
    <row r="9" spans="1:17" hidden="1" x14ac:dyDescent="0.25">
      <c r="A9" s="78">
        <v>44146</v>
      </c>
      <c r="B9" s="80">
        <v>20111153014319</v>
      </c>
      <c r="C9" s="21" t="s">
        <v>221</v>
      </c>
      <c r="D9" s="21">
        <v>690</v>
      </c>
      <c r="E9" s="21">
        <v>0</v>
      </c>
      <c r="H9" s="21">
        <v>14</v>
      </c>
      <c r="I9" s="21">
        <v>0</v>
      </c>
      <c r="J9" s="21">
        <v>0</v>
      </c>
      <c r="K9" s="21">
        <v>360</v>
      </c>
      <c r="L9" s="21">
        <f>D9-E9-F9-G9-H9-I9-J9-K9</f>
        <v>316</v>
      </c>
      <c r="M9" s="79"/>
      <c r="N9" s="77" t="s">
        <v>328</v>
      </c>
      <c r="O9" s="21" t="s">
        <v>736</v>
      </c>
      <c r="P9" s="21">
        <v>0.52139037433155078</v>
      </c>
      <c r="Q9" s="21" t="s">
        <v>393</v>
      </c>
    </row>
    <row r="10" spans="1:17" hidden="1" x14ac:dyDescent="0.25">
      <c r="A10" s="78">
        <v>44146</v>
      </c>
      <c r="B10" s="43" t="s">
        <v>512</v>
      </c>
      <c r="C10" s="21" t="s">
        <v>726</v>
      </c>
      <c r="D10" s="21">
        <v>0</v>
      </c>
      <c r="H10" s="21">
        <v>4</v>
      </c>
      <c r="I10" s="21">
        <v>7</v>
      </c>
      <c r="J10" s="21">
        <v>2</v>
      </c>
      <c r="K10" s="21">
        <v>0</v>
      </c>
      <c r="L10" s="21">
        <v>0</v>
      </c>
      <c r="M10" s="79" t="s">
        <v>715</v>
      </c>
      <c r="N10" s="51" t="s">
        <v>306</v>
      </c>
      <c r="O10" s="21" t="s">
        <v>727</v>
      </c>
      <c r="P10" s="21">
        <v>1</v>
      </c>
      <c r="Q10" s="21" t="s">
        <v>466</v>
      </c>
    </row>
    <row r="11" spans="1:17" hidden="1" x14ac:dyDescent="0.25">
      <c r="A11" s="78">
        <v>44146</v>
      </c>
      <c r="B11" s="43" t="s">
        <v>537</v>
      </c>
      <c r="C11" s="21" t="s">
        <v>728</v>
      </c>
      <c r="D11" s="21">
        <v>565</v>
      </c>
      <c r="E11" s="21">
        <v>0</v>
      </c>
      <c r="F11" s="21">
        <v>0</v>
      </c>
      <c r="H11" s="21">
        <v>16</v>
      </c>
      <c r="I11" s="21">
        <v>26</v>
      </c>
      <c r="J11" s="21">
        <v>5</v>
      </c>
      <c r="K11" s="21">
        <v>320</v>
      </c>
      <c r="L11" s="21">
        <f>D11-E11-F11-G11-H11-I11-J11-K11</f>
        <v>198</v>
      </c>
      <c r="M11" s="79"/>
      <c r="N11" s="51" t="s">
        <v>306</v>
      </c>
      <c r="O11" s="21" t="s">
        <v>729</v>
      </c>
      <c r="P11" s="21">
        <v>1</v>
      </c>
      <c r="Q11" s="21" t="s">
        <v>393</v>
      </c>
    </row>
    <row r="12" spans="1:17" hidden="1" x14ac:dyDescent="0.25">
      <c r="A12" s="78">
        <v>44147</v>
      </c>
      <c r="B12" s="80">
        <v>10000972390712</v>
      </c>
      <c r="C12" s="21" t="s">
        <v>216</v>
      </c>
      <c r="D12" s="21">
        <v>0</v>
      </c>
      <c r="K12" s="21">
        <v>60</v>
      </c>
      <c r="M12" s="79" t="s">
        <v>734</v>
      </c>
      <c r="N12" s="76" t="s">
        <v>708</v>
      </c>
      <c r="O12" s="21" t="s">
        <v>735</v>
      </c>
      <c r="P12" s="21">
        <v>1</v>
      </c>
      <c r="Q12" s="21" t="s">
        <v>393</v>
      </c>
    </row>
    <row r="13" spans="1:17" hidden="1" x14ac:dyDescent="0.25">
      <c r="A13" s="78">
        <v>44148</v>
      </c>
      <c r="B13" s="80">
        <v>10001504010068</v>
      </c>
      <c r="C13" s="21" t="s">
        <v>740</v>
      </c>
      <c r="D13" s="21">
        <v>1326</v>
      </c>
      <c r="E13" s="21">
        <v>0</v>
      </c>
      <c r="G13" s="21">
        <v>60</v>
      </c>
      <c r="H13" s="21">
        <v>25</v>
      </c>
      <c r="I13" s="21">
        <v>0</v>
      </c>
      <c r="J13" s="21">
        <v>0</v>
      </c>
      <c r="K13" s="21">
        <v>680</v>
      </c>
      <c r="L13" s="21">
        <f>D13-E13-F13-G13-H13-I13-J13-K13</f>
        <v>561</v>
      </c>
      <c r="M13" s="79"/>
      <c r="N13" s="76" t="s">
        <v>708</v>
      </c>
      <c r="O13" s="21" t="s">
        <v>741</v>
      </c>
      <c r="P13" s="21">
        <v>1</v>
      </c>
      <c r="Q13" s="21" t="s">
        <v>542</v>
      </c>
    </row>
    <row r="14" spans="1:17" hidden="1" x14ac:dyDescent="0.25">
      <c r="A14" s="78">
        <v>44156</v>
      </c>
      <c r="B14" s="80">
        <v>20112156511383</v>
      </c>
      <c r="C14" s="21" t="s">
        <v>750</v>
      </c>
      <c r="D14" s="21">
        <v>885</v>
      </c>
      <c r="E14" s="21">
        <v>15</v>
      </c>
      <c r="H14" s="21">
        <v>17</v>
      </c>
      <c r="I14" s="21">
        <v>0</v>
      </c>
      <c r="J14" s="21">
        <v>0</v>
      </c>
      <c r="K14" s="21">
        <v>485</v>
      </c>
      <c r="L14" s="21">
        <f>D14-E14-F14-G14-H14-I14-J14-K14</f>
        <v>368</v>
      </c>
      <c r="M14" s="79"/>
      <c r="N14" s="77" t="s">
        <v>328</v>
      </c>
      <c r="O14" s="21" t="s">
        <v>751</v>
      </c>
      <c r="P14" s="21">
        <v>1</v>
      </c>
      <c r="Q14" s="21" t="s">
        <v>904</v>
      </c>
    </row>
    <row r="15" spans="1:17" hidden="1" x14ac:dyDescent="0.25">
      <c r="A15" s="78">
        <v>44162</v>
      </c>
      <c r="B15" s="43" t="s">
        <v>559</v>
      </c>
      <c r="C15" s="21" t="s">
        <v>253</v>
      </c>
      <c r="D15" s="21">
        <v>780</v>
      </c>
      <c r="E15" s="21">
        <v>15</v>
      </c>
      <c r="H15" s="21">
        <v>23</v>
      </c>
      <c r="I15" s="21">
        <v>38</v>
      </c>
      <c r="J15" s="21">
        <v>8</v>
      </c>
      <c r="K15" s="21">
        <v>440</v>
      </c>
      <c r="L15" s="21">
        <f>D15-E15-F15-G15-H15-I15-J15-K15</f>
        <v>256</v>
      </c>
      <c r="M15" s="79"/>
      <c r="N15" s="51" t="s">
        <v>306</v>
      </c>
      <c r="O15" s="21" t="s">
        <v>730</v>
      </c>
      <c r="P15" s="21">
        <v>1</v>
      </c>
      <c r="Q15" s="21" t="s">
        <v>393</v>
      </c>
    </row>
    <row r="16" spans="1:17" hidden="1" x14ac:dyDescent="0.25">
      <c r="A16" s="78">
        <v>44163</v>
      </c>
      <c r="B16" s="80">
        <v>20082126331374</v>
      </c>
      <c r="C16" s="21" t="s">
        <v>744</v>
      </c>
      <c r="D16" s="21">
        <v>195</v>
      </c>
      <c r="E16" s="21">
        <v>0</v>
      </c>
      <c r="H16" s="21">
        <v>4</v>
      </c>
      <c r="I16" s="21">
        <v>0</v>
      </c>
      <c r="J16" s="21">
        <v>0</v>
      </c>
      <c r="K16" s="21">
        <v>100</v>
      </c>
      <c r="L16" s="21">
        <f>D16-E16-F16-G16-H16-I16-J16-K16</f>
        <v>91</v>
      </c>
      <c r="M16" s="79"/>
      <c r="N16" s="77" t="s">
        <v>328</v>
      </c>
      <c r="O16" s="21" t="s">
        <v>745</v>
      </c>
      <c r="P16" s="21">
        <v>1</v>
      </c>
      <c r="Q16" s="21" t="s">
        <v>393</v>
      </c>
    </row>
    <row r="17" spans="1:17" hidden="1" x14ac:dyDescent="0.25">
      <c r="A17" s="78">
        <v>44163</v>
      </c>
      <c r="B17" s="43" t="s">
        <v>579</v>
      </c>
      <c r="C17" s="21" t="s">
        <v>731</v>
      </c>
      <c r="D17" s="21">
        <v>507</v>
      </c>
      <c r="E17" s="21">
        <v>0</v>
      </c>
      <c r="F17" s="21">
        <v>0</v>
      </c>
      <c r="H17" s="21">
        <v>12.565055762081785</v>
      </c>
      <c r="I17" s="21">
        <v>23.87360594795539</v>
      </c>
      <c r="J17" s="21">
        <v>5.0260223048327139</v>
      </c>
      <c r="K17" s="21">
        <v>315</v>
      </c>
      <c r="L17" s="21">
        <f>D17-E17-F17-G17-H17-I17-J17-K17</f>
        <v>150.53531598513007</v>
      </c>
      <c r="M17" s="79"/>
      <c r="N17" s="51" t="s">
        <v>306</v>
      </c>
      <c r="O17" s="21" t="s">
        <v>732</v>
      </c>
      <c r="P17" s="21">
        <v>0.5633187772925764</v>
      </c>
      <c r="Q17" s="21" t="s">
        <v>466</v>
      </c>
    </row>
    <row r="18" spans="1:17" hidden="1" x14ac:dyDescent="0.25">
      <c r="A18" s="78">
        <v>44164</v>
      </c>
      <c r="B18" s="80">
        <v>10000998350216</v>
      </c>
      <c r="C18" s="21" t="s">
        <v>221</v>
      </c>
      <c r="D18" s="21">
        <v>690</v>
      </c>
      <c r="E18" s="21">
        <v>3</v>
      </c>
      <c r="H18" s="21">
        <v>14</v>
      </c>
      <c r="I18" s="21">
        <v>0</v>
      </c>
      <c r="J18" s="21">
        <v>0</v>
      </c>
      <c r="K18" s="21">
        <v>360</v>
      </c>
      <c r="L18" s="21">
        <f>D18-E18-F18-G18-H18-I18-J18-K18</f>
        <v>313</v>
      </c>
      <c r="M18" s="79"/>
      <c r="N18" s="76" t="s">
        <v>708</v>
      </c>
      <c r="O18" s="21" t="s">
        <v>736</v>
      </c>
      <c r="P18" s="21">
        <v>1</v>
      </c>
      <c r="Q18" s="21" t="s">
        <v>466</v>
      </c>
    </row>
    <row r="19" spans="1:17" hidden="1" x14ac:dyDescent="0.25">
      <c r="A19" s="78">
        <v>44165</v>
      </c>
      <c r="B19" s="80">
        <v>10001613090411</v>
      </c>
      <c r="C19" s="21" t="s">
        <v>716</v>
      </c>
      <c r="D19" s="21">
        <v>966</v>
      </c>
      <c r="E19" s="21">
        <v>0</v>
      </c>
      <c r="H19" s="21">
        <v>19</v>
      </c>
      <c r="I19" s="21">
        <v>0</v>
      </c>
      <c r="J19" s="21">
        <v>0</v>
      </c>
      <c r="K19" s="21">
        <v>504</v>
      </c>
      <c r="L19" s="21">
        <f>D19-E19-F19-G19-H19-I19-J19-K19</f>
        <v>443</v>
      </c>
      <c r="M19" s="79"/>
      <c r="N19" s="76" t="s">
        <v>708</v>
      </c>
      <c r="O19" s="21" t="s">
        <v>742</v>
      </c>
      <c r="P19" s="21">
        <v>1</v>
      </c>
      <c r="Q19" s="21" t="s">
        <v>393</v>
      </c>
    </row>
    <row r="20" spans="1:17" hidden="1" x14ac:dyDescent="0.25">
      <c r="A20" s="78">
        <v>44165</v>
      </c>
      <c r="B20" s="43" t="s">
        <v>786</v>
      </c>
      <c r="C20" s="21" t="s">
        <v>803</v>
      </c>
      <c r="D20" s="21">
        <v>45</v>
      </c>
      <c r="E20" s="21">
        <v>0</v>
      </c>
      <c r="H20" s="21">
        <v>0</v>
      </c>
      <c r="I20" s="21">
        <v>0</v>
      </c>
      <c r="J20" s="21">
        <v>0</v>
      </c>
      <c r="K20" s="21">
        <v>17</v>
      </c>
      <c r="L20" s="21">
        <f>D20-E20-F20-G20-H20-I20-J20-K20</f>
        <v>28</v>
      </c>
      <c r="M20" s="79"/>
      <c r="N20" s="51" t="s">
        <v>306</v>
      </c>
      <c r="O20" s="21" t="s">
        <v>811</v>
      </c>
      <c r="P20" s="21">
        <v>1</v>
      </c>
      <c r="Q20" s="21" t="s">
        <v>393</v>
      </c>
    </row>
    <row r="21" spans="1:17" hidden="1" x14ac:dyDescent="0.25">
      <c r="A21" s="78">
        <v>44165</v>
      </c>
      <c r="B21" s="43" t="s">
        <v>792</v>
      </c>
      <c r="C21" s="21" t="s">
        <v>804</v>
      </c>
      <c r="D21" s="21">
        <v>50</v>
      </c>
      <c r="E21" s="21">
        <v>0</v>
      </c>
      <c r="H21" s="21">
        <v>0</v>
      </c>
      <c r="I21" s="21">
        <v>0</v>
      </c>
      <c r="J21" s="21">
        <v>0</v>
      </c>
      <c r="K21" s="21">
        <v>28</v>
      </c>
      <c r="L21" s="21">
        <f>D21-E21-F21-G21-H21-I21-J21-K21</f>
        <v>22</v>
      </c>
      <c r="M21" s="79"/>
      <c r="N21" s="51" t="s">
        <v>306</v>
      </c>
      <c r="O21" s="21" t="s">
        <v>812</v>
      </c>
      <c r="P21" s="21">
        <v>1</v>
      </c>
      <c r="Q21" s="21" t="s">
        <v>393</v>
      </c>
    </row>
    <row r="22" spans="1:17" hidden="1" x14ac:dyDescent="0.25">
      <c r="A22" s="78">
        <v>44165</v>
      </c>
      <c r="B22" s="43" t="s">
        <v>814</v>
      </c>
      <c r="C22" s="21" t="s">
        <v>808</v>
      </c>
      <c r="D22" s="21">
        <v>600</v>
      </c>
      <c r="E22" s="21">
        <v>0</v>
      </c>
      <c r="H22" s="21">
        <v>0</v>
      </c>
      <c r="I22" s="21">
        <v>0</v>
      </c>
      <c r="J22" s="21">
        <v>0</v>
      </c>
      <c r="K22" s="21">
        <v>0</v>
      </c>
      <c r="L22" s="21">
        <f>D22-E22-F22-G22-H22-I22-J22-K22</f>
        <v>600</v>
      </c>
      <c r="M22" s="79" t="s">
        <v>813</v>
      </c>
      <c r="N22" s="51" t="s">
        <v>306</v>
      </c>
      <c r="O22" s="21" t="s">
        <v>816</v>
      </c>
      <c r="P22" s="21">
        <v>1</v>
      </c>
      <c r="Q22" s="21" t="s">
        <v>565</v>
      </c>
    </row>
    <row r="23" spans="1:17" hidden="1" x14ac:dyDescent="0.25">
      <c r="A23" s="78">
        <v>44165</v>
      </c>
      <c r="B23" s="43" t="s">
        <v>798</v>
      </c>
      <c r="C23" s="21" t="s">
        <v>807</v>
      </c>
      <c r="D23" s="21">
        <v>500</v>
      </c>
      <c r="E23" s="21">
        <v>0</v>
      </c>
      <c r="H23" s="21">
        <v>0</v>
      </c>
      <c r="I23" s="21">
        <v>0</v>
      </c>
      <c r="J23" s="21">
        <v>0</v>
      </c>
      <c r="K23" s="21">
        <v>0</v>
      </c>
      <c r="L23" s="21">
        <f>D23-E23-F23-G23-H23-I23-J23-K23</f>
        <v>500</v>
      </c>
      <c r="M23" s="79" t="s">
        <v>813</v>
      </c>
      <c r="N23" s="51" t="s">
        <v>306</v>
      </c>
      <c r="O23" s="21" t="s">
        <v>816</v>
      </c>
      <c r="P23" s="21">
        <v>0.62825278810408924</v>
      </c>
      <c r="Q23" s="21" t="s">
        <v>393</v>
      </c>
    </row>
    <row r="24" spans="1:17" hidden="1" x14ac:dyDescent="0.25">
      <c r="A24" s="78">
        <v>44479</v>
      </c>
      <c r="B24" s="80">
        <v>21101062485429</v>
      </c>
      <c r="C24" s="21" t="s">
        <v>984</v>
      </c>
      <c r="D24" s="21">
        <v>690</v>
      </c>
      <c r="E24" s="21">
        <v>0</v>
      </c>
      <c r="H24" s="21">
        <v>14</v>
      </c>
      <c r="I24" s="21">
        <v>0</v>
      </c>
      <c r="J24" s="21">
        <v>7</v>
      </c>
      <c r="K24" s="21">
        <v>0</v>
      </c>
      <c r="L24" s="21">
        <f>D24-E24-F24-G24-H24-I24-J24-K24</f>
        <v>669</v>
      </c>
      <c r="M24" s="79" t="s">
        <v>813</v>
      </c>
      <c r="N24" s="77" t="s">
        <v>328</v>
      </c>
      <c r="O24" s="21" t="s">
        <v>1014</v>
      </c>
      <c r="P24" s="21">
        <v>1</v>
      </c>
      <c r="Q24" s="21" t="s">
        <v>393</v>
      </c>
    </row>
    <row r="25" spans="1:17" hidden="1" x14ac:dyDescent="0.25">
      <c r="A25" s="78">
        <v>44510</v>
      </c>
      <c r="B25" s="43" t="s">
        <v>820</v>
      </c>
      <c r="C25" s="21" t="s">
        <v>962</v>
      </c>
      <c r="D25" s="21">
        <v>134</v>
      </c>
      <c r="E25" s="21">
        <v>5</v>
      </c>
      <c r="H25" s="21">
        <v>4</v>
      </c>
      <c r="I25" s="21">
        <v>8</v>
      </c>
      <c r="J25" s="21">
        <v>3</v>
      </c>
      <c r="K25" s="21">
        <v>0</v>
      </c>
      <c r="L25" s="21">
        <f>D25-E25-F25-G25-H25-I25-J25-K25</f>
        <v>114</v>
      </c>
      <c r="M25" s="79" t="s">
        <v>813</v>
      </c>
      <c r="N25" s="51" t="s">
        <v>306</v>
      </c>
      <c r="O25" s="21" t="s">
        <v>816</v>
      </c>
      <c r="P25" s="21">
        <v>1</v>
      </c>
      <c r="Q25" s="21" t="s">
        <v>393</v>
      </c>
    </row>
    <row r="26" spans="1:17" hidden="1" x14ac:dyDescent="0.25">
      <c r="A26" s="78">
        <v>44510</v>
      </c>
      <c r="B26" s="43" t="s">
        <v>840</v>
      </c>
      <c r="C26" s="21" t="s">
        <v>1005</v>
      </c>
      <c r="D26" s="21">
        <v>207</v>
      </c>
      <c r="E26" s="21">
        <v>0</v>
      </c>
      <c r="H26" s="21">
        <v>6</v>
      </c>
      <c r="I26" s="21">
        <v>12</v>
      </c>
      <c r="J26" s="21">
        <v>5</v>
      </c>
      <c r="K26" s="21">
        <v>0</v>
      </c>
      <c r="L26" s="21">
        <f>D26-E26-F26-G26-H26-I26-J26-K26</f>
        <v>184</v>
      </c>
      <c r="M26" s="79" t="s">
        <v>813</v>
      </c>
      <c r="N26" s="51" t="s">
        <v>306</v>
      </c>
      <c r="O26" s="21" t="s">
        <v>1006</v>
      </c>
      <c r="P26" s="21">
        <v>1</v>
      </c>
      <c r="Q26" s="21" t="s">
        <v>393</v>
      </c>
    </row>
    <row r="27" spans="1:17" hidden="1" x14ac:dyDescent="0.25">
      <c r="A27" s="78">
        <v>44522</v>
      </c>
      <c r="B27" s="80">
        <v>20082212231545</v>
      </c>
      <c r="C27" s="21" t="s">
        <v>216</v>
      </c>
      <c r="D27" s="21">
        <v>0</v>
      </c>
      <c r="K27" s="21">
        <v>60</v>
      </c>
      <c r="M27" s="79" t="s">
        <v>734</v>
      </c>
      <c r="N27" s="77" t="s">
        <v>328</v>
      </c>
      <c r="O27" s="21" t="s">
        <v>746</v>
      </c>
      <c r="P27" s="21">
        <v>1</v>
      </c>
      <c r="Q27" s="21" t="s">
        <v>542</v>
      </c>
    </row>
    <row r="28" spans="1:17" hidden="1" x14ac:dyDescent="0.25">
      <c r="A28" s="78">
        <v>44774</v>
      </c>
      <c r="B28" s="43" t="s">
        <v>879</v>
      </c>
      <c r="C28" s="21" t="s">
        <v>1007</v>
      </c>
      <c r="D28" s="21">
        <v>258</v>
      </c>
      <c r="E28" s="21">
        <v>0</v>
      </c>
      <c r="F28" s="21">
        <v>0</v>
      </c>
      <c r="H28" s="21">
        <v>5</v>
      </c>
      <c r="I28" s="21">
        <v>4</v>
      </c>
      <c r="J28" s="21">
        <v>2</v>
      </c>
      <c r="K28" s="21">
        <v>0</v>
      </c>
      <c r="L28" s="21">
        <f>D28-E28-F28-G28-H28-I28-J28-K28</f>
        <v>247</v>
      </c>
      <c r="M28" s="79" t="s">
        <v>813</v>
      </c>
      <c r="N28" s="51" t="s">
        <v>306</v>
      </c>
      <c r="O28" s="21" t="s">
        <v>1008</v>
      </c>
      <c r="P28" s="21">
        <v>1</v>
      </c>
      <c r="Q28" s="21" t="s">
        <v>393</v>
      </c>
    </row>
    <row r="29" spans="1:17" hidden="1" x14ac:dyDescent="0.25">
      <c r="A29" s="78">
        <v>44774</v>
      </c>
      <c r="B29" s="43" t="s">
        <v>899</v>
      </c>
      <c r="C29" s="21" t="s">
        <v>969</v>
      </c>
      <c r="D29" s="21">
        <v>1402</v>
      </c>
      <c r="E29" s="21">
        <v>35</v>
      </c>
      <c r="F29" s="21">
        <v>0</v>
      </c>
      <c r="G29" s="21">
        <v>60</v>
      </c>
      <c r="H29" s="21">
        <v>27</v>
      </c>
      <c r="I29" s="21">
        <v>20</v>
      </c>
      <c r="J29" s="21">
        <v>9</v>
      </c>
      <c r="K29" s="21">
        <v>0</v>
      </c>
      <c r="L29" s="21">
        <f>D29-E29-F29-G29-H29-I29-J29-K29</f>
        <v>1251</v>
      </c>
      <c r="M29" s="79" t="s">
        <v>813</v>
      </c>
      <c r="N29" s="51" t="s">
        <v>306</v>
      </c>
      <c r="O29" s="21" t="s">
        <v>1009</v>
      </c>
      <c r="P29" s="21">
        <v>1</v>
      </c>
      <c r="Q29" s="21" t="s">
        <v>393</v>
      </c>
    </row>
    <row r="30" spans="1:17" hidden="1" x14ac:dyDescent="0.25">
      <c r="A30" s="78">
        <v>44775</v>
      </c>
      <c r="B30" s="80">
        <v>22080240013644</v>
      </c>
      <c r="C30" s="21" t="s">
        <v>1015</v>
      </c>
      <c r="D30" s="21">
        <v>536</v>
      </c>
      <c r="E30" s="21">
        <v>35</v>
      </c>
      <c r="H30" s="21">
        <v>10</v>
      </c>
      <c r="I30" s="21">
        <v>0</v>
      </c>
      <c r="J30" s="21">
        <v>5</v>
      </c>
      <c r="K30" s="21">
        <v>0</v>
      </c>
      <c r="L30" s="21">
        <f>D30-E30-F30-G30-H30-I30-J30-K30</f>
        <v>486</v>
      </c>
      <c r="M30" s="79" t="s">
        <v>813</v>
      </c>
      <c r="N30" s="77" t="s">
        <v>328</v>
      </c>
      <c r="O30" s="21" t="s">
        <v>1016</v>
      </c>
      <c r="P30" s="21">
        <v>1</v>
      </c>
      <c r="Q30" s="21" t="s">
        <v>904</v>
      </c>
    </row>
    <row r="31" spans="1:17" x14ac:dyDescent="0.25">
      <c r="A31" s="78">
        <v>44776</v>
      </c>
      <c r="B31" s="43" t="s">
        <v>918</v>
      </c>
      <c r="C31" s="21" t="s">
        <v>1010</v>
      </c>
      <c r="D31" s="21">
        <v>310</v>
      </c>
      <c r="E31" s="21">
        <v>6.9610778443113768</v>
      </c>
      <c r="F31" s="21">
        <v>0</v>
      </c>
      <c r="H31" s="21">
        <v>6.0329341317365266</v>
      </c>
      <c r="I31" s="21">
        <v>4.6407185628742518</v>
      </c>
      <c r="J31" s="21">
        <v>2.784431137724551</v>
      </c>
      <c r="K31" s="21">
        <v>0</v>
      </c>
      <c r="L31" s="21">
        <f>D31-E31-F31-G31-H31-I31-J31-K31</f>
        <v>289.5808383233533</v>
      </c>
      <c r="M31" s="79" t="s">
        <v>813</v>
      </c>
      <c r="N31" s="51" t="s">
        <v>306</v>
      </c>
      <c r="O31" s="21" t="s">
        <v>1008</v>
      </c>
      <c r="P31" s="21">
        <v>0.46407185628742514</v>
      </c>
      <c r="Q31" s="21" t="s">
        <v>565</v>
      </c>
    </row>
    <row r="32" spans="1:17" hidden="1" x14ac:dyDescent="0.25">
      <c r="A32" s="78">
        <v>44781</v>
      </c>
      <c r="B32" s="43" t="s">
        <v>937</v>
      </c>
      <c r="C32" s="21" t="s">
        <v>1012</v>
      </c>
      <c r="D32" s="21">
        <v>1260</v>
      </c>
      <c r="E32" s="21">
        <v>15</v>
      </c>
      <c r="F32" s="21">
        <v>0</v>
      </c>
      <c r="G32" s="21">
        <v>60</v>
      </c>
      <c r="H32" s="21">
        <v>25</v>
      </c>
      <c r="I32" s="21">
        <v>18</v>
      </c>
      <c r="J32" s="21">
        <v>12</v>
      </c>
      <c r="K32" s="21">
        <v>0</v>
      </c>
      <c r="L32" s="21">
        <f>D32-E32-F32-G32-H32-I32-J32-K32</f>
        <v>1130</v>
      </c>
      <c r="M32" s="79" t="s">
        <v>813</v>
      </c>
      <c r="N32" s="51" t="s">
        <v>306</v>
      </c>
      <c r="O32" s="21" t="s">
        <v>1013</v>
      </c>
      <c r="P32" s="21">
        <v>1</v>
      </c>
      <c r="Q32" s="21" t="s">
        <v>565</v>
      </c>
    </row>
    <row r="33" spans="2:2" x14ac:dyDescent="0.25">
      <c r="B33" s="21"/>
    </row>
    <row r="34" spans="2:2" x14ac:dyDescent="0.25">
      <c r="B34" s="21"/>
    </row>
    <row r="35" spans="2:2" x14ac:dyDescent="0.25">
      <c r="B35" s="21"/>
    </row>
    <row r="36" spans="2:2" x14ac:dyDescent="0.25">
      <c r="B36" s="21"/>
    </row>
    <row r="37" spans="2:2" x14ac:dyDescent="0.25">
      <c r="B37" s="21"/>
    </row>
    <row r="38" spans="2:2" x14ac:dyDescent="0.25">
      <c r="B38" s="21"/>
    </row>
    <row r="39" spans="2:2" x14ac:dyDescent="0.25">
      <c r="B39" s="21"/>
    </row>
    <row r="40" spans="2:2" x14ac:dyDescent="0.25">
      <c r="B40" s="21"/>
    </row>
    <row r="41" spans="2:2" x14ac:dyDescent="0.25">
      <c r="B41" s="21"/>
    </row>
    <row r="42" spans="2:2" x14ac:dyDescent="0.25">
      <c r="B42" s="21"/>
    </row>
    <row r="43" spans="2:2" x14ac:dyDescent="0.25">
      <c r="B43" s="21"/>
    </row>
    <row r="44" spans="2:2" x14ac:dyDescent="0.25">
      <c r="B44" s="21"/>
    </row>
    <row r="45" spans="2:2" x14ac:dyDescent="0.25">
      <c r="B45" s="21"/>
    </row>
    <row r="46" spans="2:2" x14ac:dyDescent="0.25">
      <c r="B46" s="21"/>
    </row>
  </sheetData>
  <autoFilter ref="A1:Q32" xr:uid="{00000000-0001-0000-0600-000000000000}">
    <filterColumn colId="1">
      <filters>
        <filter val="22080358TGADG9"/>
      </filters>
    </filterColumn>
  </autoFilter>
  <sortState xmlns:xlrd2="http://schemas.microsoft.com/office/spreadsheetml/2017/richdata2" ref="A2:O32">
    <sortCondition ref="A1:A32"/>
  </sortState>
  <phoneticPr fontId="2" type="noConversion"/>
  <pageMargins left="0.7" right="0.7" top="0.75" bottom="0.75" header="0.3" footer="0.3"/>
  <pageSetup paperSize="256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/>
  <dimension ref="A1:K17"/>
  <sheetViews>
    <sheetView workbookViewId="0">
      <selection activeCell="M30" sqref="M30"/>
    </sheetView>
  </sheetViews>
  <sheetFormatPr defaultColWidth="8.88671875" defaultRowHeight="14.4" x14ac:dyDescent="0.25"/>
  <cols>
    <col min="1" max="1" width="5.5546875" style="21" bestFit="1" customWidth="1"/>
    <col min="2" max="2" width="7.5546875" style="21" bestFit="1" customWidth="1"/>
    <col min="3" max="3" width="6" style="21" bestFit="1" customWidth="1"/>
    <col min="4" max="4" width="6.109375" style="21" bestFit="1" customWidth="1"/>
    <col min="5" max="5" width="8.21875" style="21" bestFit="1" customWidth="1"/>
    <col min="6" max="6" width="16" style="21" bestFit="1" customWidth="1"/>
    <col min="7" max="9" width="10.21875" style="21" bestFit="1" customWidth="1"/>
    <col min="10" max="11" width="6.109375" style="21" bestFit="1" customWidth="1"/>
    <col min="12" max="16384" width="8.88671875" style="21"/>
  </cols>
  <sheetData>
    <row r="1" spans="1:11" x14ac:dyDescent="0.25">
      <c r="A1" s="21" t="s">
        <v>52</v>
      </c>
      <c r="B1" s="21" t="s">
        <v>53</v>
      </c>
      <c r="C1" s="21" t="s">
        <v>72</v>
      </c>
      <c r="D1" s="21" t="s">
        <v>191</v>
      </c>
      <c r="E1" s="21" t="s">
        <v>192</v>
      </c>
      <c r="F1" s="107" t="s">
        <v>869</v>
      </c>
      <c r="G1" s="107" t="s">
        <v>870</v>
      </c>
      <c r="H1" s="107" t="s">
        <v>871</v>
      </c>
      <c r="I1" s="107" t="s">
        <v>872</v>
      </c>
      <c r="J1" s="107" t="s">
        <v>868</v>
      </c>
      <c r="K1" s="21" t="s">
        <v>873</v>
      </c>
    </row>
    <row r="2" spans="1:11" x14ac:dyDescent="0.25">
      <c r="A2" s="21">
        <v>1</v>
      </c>
      <c r="B2" s="21">
        <v>0</v>
      </c>
      <c r="C2" s="21">
        <v>0</v>
      </c>
      <c r="D2" s="21">
        <v>0</v>
      </c>
      <c r="E2" s="21">
        <v>0</v>
      </c>
    </row>
    <row r="3" spans="1:11" x14ac:dyDescent="0.25">
      <c r="A3" s="21">
        <v>2</v>
      </c>
      <c r="B3" s="21">
        <v>0</v>
      </c>
      <c r="C3" s="21">
        <v>0</v>
      </c>
      <c r="D3" s="21">
        <v>0</v>
      </c>
      <c r="E3" s="21">
        <v>0</v>
      </c>
    </row>
    <row r="4" spans="1:11" x14ac:dyDescent="0.25">
      <c r="A4" s="21">
        <v>3</v>
      </c>
      <c r="B4" s="21">
        <v>0</v>
      </c>
      <c r="C4" s="21">
        <v>0</v>
      </c>
      <c r="D4" s="21">
        <v>0</v>
      </c>
      <c r="E4" s="21">
        <v>0</v>
      </c>
    </row>
    <row r="5" spans="1:11" x14ac:dyDescent="0.25">
      <c r="A5" s="21">
        <v>4</v>
      </c>
      <c r="B5" s="21">
        <v>0</v>
      </c>
      <c r="C5" s="21">
        <v>0</v>
      </c>
      <c r="D5" s="21">
        <v>0</v>
      </c>
      <c r="E5" s="21">
        <v>0</v>
      </c>
    </row>
    <row r="6" spans="1:11" x14ac:dyDescent="0.25">
      <c r="A6" s="21">
        <v>5</v>
      </c>
      <c r="B6" s="21">
        <v>0</v>
      </c>
      <c r="C6" s="21">
        <v>0</v>
      </c>
      <c r="D6" s="21">
        <v>0</v>
      </c>
      <c r="E6" s="21">
        <v>0</v>
      </c>
    </row>
    <row r="7" spans="1:11" x14ac:dyDescent="0.25">
      <c r="A7" s="21">
        <v>6</v>
      </c>
      <c r="B7" s="21">
        <v>0</v>
      </c>
      <c r="C7" s="21">
        <v>0</v>
      </c>
      <c r="D7" s="21">
        <v>0</v>
      </c>
      <c r="E7" s="21">
        <v>0</v>
      </c>
    </row>
    <row r="8" spans="1:11" x14ac:dyDescent="0.25">
      <c r="A8" s="21">
        <v>7</v>
      </c>
      <c r="B8" s="21">
        <v>0</v>
      </c>
      <c r="C8" s="21">
        <v>0</v>
      </c>
      <c r="D8" s="21">
        <v>0</v>
      </c>
      <c r="E8" s="21">
        <v>0</v>
      </c>
    </row>
    <row r="9" spans="1:11" x14ac:dyDescent="0.25">
      <c r="A9" s="21">
        <v>8</v>
      </c>
      <c r="B9" s="21">
        <v>0</v>
      </c>
      <c r="C9" s="21">
        <v>0</v>
      </c>
      <c r="D9" s="21">
        <v>0</v>
      </c>
      <c r="E9" s="21">
        <v>0</v>
      </c>
    </row>
    <row r="10" spans="1:11" x14ac:dyDescent="0.25">
      <c r="A10" s="21">
        <v>9</v>
      </c>
      <c r="B10" s="21">
        <v>0</v>
      </c>
      <c r="C10" s="21">
        <v>0</v>
      </c>
      <c r="D10" s="21">
        <v>0</v>
      </c>
      <c r="E10" s="21">
        <v>0</v>
      </c>
    </row>
    <row r="11" spans="1:11" x14ac:dyDescent="0.25">
      <c r="A11" s="21">
        <v>10</v>
      </c>
      <c r="B11" s="21">
        <v>0</v>
      </c>
      <c r="C11" s="21">
        <v>0</v>
      </c>
      <c r="D11" s="21">
        <v>0</v>
      </c>
      <c r="E11" s="21">
        <v>0</v>
      </c>
    </row>
    <row r="12" spans="1:11" x14ac:dyDescent="0.25">
      <c r="A12" s="21">
        <v>11</v>
      </c>
      <c r="B12" s="21">
        <v>10000</v>
      </c>
      <c r="C12" s="21">
        <v>4975</v>
      </c>
      <c r="D12" s="21">
        <v>310</v>
      </c>
      <c r="E12" s="21">
        <v>467</v>
      </c>
      <c r="H12" s="21">
        <v>10</v>
      </c>
      <c r="J12" s="21">
        <v>10</v>
      </c>
    </row>
    <row r="13" spans="1:11" x14ac:dyDescent="0.25">
      <c r="A13" s="21">
        <v>12</v>
      </c>
      <c r="B13" s="21">
        <v>0</v>
      </c>
      <c r="C13" s="21">
        <v>0</v>
      </c>
      <c r="D13" s="21">
        <v>0</v>
      </c>
      <c r="E13" s="21">
        <v>0</v>
      </c>
    </row>
    <row r="14" spans="1:11" x14ac:dyDescent="0.25">
      <c r="A14" s="21">
        <v>11</v>
      </c>
      <c r="B14" s="21">
        <v>9944</v>
      </c>
      <c r="C14" s="21">
        <v>4975</v>
      </c>
      <c r="D14" s="21">
        <v>305</v>
      </c>
      <c r="E14" s="21">
        <v>485</v>
      </c>
    </row>
    <row r="15" spans="1:11" x14ac:dyDescent="0.25">
      <c r="A15" s="21">
        <v>8</v>
      </c>
      <c r="B15" s="21">
        <v>3766</v>
      </c>
      <c r="C15" s="21">
        <v>0</v>
      </c>
      <c r="D15" s="21">
        <v>177</v>
      </c>
      <c r="E15" s="21">
        <v>301</v>
      </c>
    </row>
    <row r="16" spans="1:11" x14ac:dyDescent="0.25">
      <c r="A16" s="21">
        <v>10</v>
      </c>
      <c r="B16" s="21">
        <v>690</v>
      </c>
      <c r="C16" s="21">
        <v>0</v>
      </c>
      <c r="D16" s="21">
        <v>0</v>
      </c>
      <c r="E16" s="21">
        <v>21</v>
      </c>
    </row>
    <row r="17" spans="1:5" x14ac:dyDescent="0.25">
      <c r="A17" s="21">
        <v>11</v>
      </c>
      <c r="B17" s="21">
        <v>10285</v>
      </c>
      <c r="C17" s="21">
        <v>4975</v>
      </c>
      <c r="D17" s="21">
        <v>250</v>
      </c>
      <c r="E17" s="21">
        <v>516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Q12"/>
  <sheetViews>
    <sheetView zoomScaleNormal="100" workbookViewId="0">
      <selection activeCell="H15" sqref="H15"/>
    </sheetView>
  </sheetViews>
  <sheetFormatPr defaultColWidth="8.88671875" defaultRowHeight="14.4" x14ac:dyDescent="0.25"/>
  <cols>
    <col min="1" max="1" width="10" style="21" bestFit="1" customWidth="1"/>
    <col min="2" max="2" width="19.33203125" style="43" bestFit="1" customWidth="1"/>
    <col min="3" max="3" width="18.77734375" style="21" customWidth="1"/>
    <col min="4" max="4" width="9.77734375" style="21" bestFit="1" customWidth="1"/>
    <col min="5" max="5" width="14.109375" style="21" bestFit="1" customWidth="1"/>
    <col min="6" max="7" width="16.109375" style="21" bestFit="1" customWidth="1"/>
    <col min="8" max="8" width="18.21875" style="21" bestFit="1" customWidth="1"/>
    <col min="9" max="10" width="14.109375" style="21" bestFit="1" customWidth="1"/>
    <col min="11" max="11" width="7.77734375" style="21" bestFit="1" customWidth="1"/>
    <col min="12" max="12" width="14.109375" style="21" bestFit="1" customWidth="1"/>
    <col min="13" max="14" width="7.77734375" style="21" bestFit="1" customWidth="1"/>
    <col min="15" max="15" width="14.33203125" style="21" bestFit="1" customWidth="1"/>
    <col min="16" max="16" width="9.44140625" style="21" bestFit="1" customWidth="1"/>
    <col min="17" max="17" width="14.5546875" style="21" bestFit="1" customWidth="1"/>
    <col min="18" max="16384" width="8.88671875" style="21"/>
  </cols>
  <sheetData>
    <row r="1" spans="1:17" s="41" customFormat="1" x14ac:dyDescent="0.25">
      <c r="A1" s="41" t="s">
        <v>48</v>
      </c>
      <c r="B1" s="42" t="s">
        <v>199</v>
      </c>
      <c r="C1" s="41" t="s">
        <v>209</v>
      </c>
      <c r="D1" s="41" t="s">
        <v>49</v>
      </c>
      <c r="E1" s="41" t="s">
        <v>124</v>
      </c>
      <c r="F1" s="41" t="s">
        <v>125</v>
      </c>
      <c r="G1" s="41" t="s">
        <v>188</v>
      </c>
      <c r="H1" s="41" t="s">
        <v>15</v>
      </c>
      <c r="I1" s="41" t="s">
        <v>16</v>
      </c>
      <c r="J1" s="41" t="s">
        <v>17</v>
      </c>
      <c r="K1" s="41" t="s">
        <v>72</v>
      </c>
      <c r="L1" s="41" t="s">
        <v>50</v>
      </c>
      <c r="M1" s="41" t="s">
        <v>51</v>
      </c>
      <c r="N1" s="41" t="s">
        <v>185</v>
      </c>
      <c r="O1" s="41" t="s">
        <v>210</v>
      </c>
    </row>
    <row r="2" spans="1:17" x14ac:dyDescent="0.25">
      <c r="A2" s="78">
        <v>44136</v>
      </c>
      <c r="B2" s="21" t="s">
        <v>460</v>
      </c>
      <c r="C2" s="21" t="s">
        <v>722</v>
      </c>
      <c r="D2" s="21">
        <v>200</v>
      </c>
      <c r="E2" s="21">
        <v>1.3100436681222707</v>
      </c>
      <c r="F2" s="21">
        <v>0</v>
      </c>
      <c r="H2" s="21">
        <v>4.8034934497816595</v>
      </c>
      <c r="I2" s="21">
        <v>9.606986899563319</v>
      </c>
      <c r="J2" s="21">
        <v>1.7467248908296944</v>
      </c>
      <c r="K2" s="21">
        <v>120</v>
      </c>
      <c r="L2" s="21">
        <f>D2-E2-F2-G2-H2-I2-J2-K2</f>
        <v>62.532751091703091</v>
      </c>
      <c r="M2" s="79"/>
      <c r="N2" s="51" t="s">
        <v>306</v>
      </c>
      <c r="O2" s="21" t="s">
        <v>723</v>
      </c>
      <c r="P2" s="21">
        <v>0.82110091743119262</v>
      </c>
      <c r="Q2" s="21" t="s">
        <v>393</v>
      </c>
    </row>
    <row r="3" spans="1:17" x14ac:dyDescent="0.25">
      <c r="A3" s="78">
        <v>44138</v>
      </c>
      <c r="B3" s="80">
        <v>10001433960951</v>
      </c>
      <c r="C3" s="21" t="s">
        <v>223</v>
      </c>
      <c r="D3" s="21">
        <v>358</v>
      </c>
      <c r="E3" s="21">
        <v>0</v>
      </c>
      <c r="H3" s="21">
        <v>7</v>
      </c>
      <c r="I3" s="21">
        <v>0</v>
      </c>
      <c r="J3" s="21">
        <v>0</v>
      </c>
      <c r="K3" s="21">
        <v>200</v>
      </c>
      <c r="L3" s="21">
        <f>D3-E3-F3-G3-H3-I3-J3-K3</f>
        <v>151</v>
      </c>
      <c r="M3" s="79"/>
      <c r="N3" s="76" t="s">
        <v>708</v>
      </c>
      <c r="O3" s="21" t="s">
        <v>738</v>
      </c>
      <c r="P3" s="21">
        <v>1</v>
      </c>
      <c r="Q3" s="21">
        <v>0</v>
      </c>
    </row>
    <row r="4" spans="1:17" x14ac:dyDescent="0.25">
      <c r="A4" s="78">
        <v>44146</v>
      </c>
      <c r="B4" s="80">
        <v>10001493210245</v>
      </c>
      <c r="C4" s="21" t="s">
        <v>224</v>
      </c>
      <c r="D4" s="21">
        <v>1183</v>
      </c>
      <c r="E4" s="21">
        <v>0</v>
      </c>
      <c r="G4" s="21">
        <v>60</v>
      </c>
      <c r="H4" s="21">
        <v>22</v>
      </c>
      <c r="I4" s="21">
        <v>0</v>
      </c>
      <c r="J4" s="21">
        <v>0</v>
      </c>
      <c r="K4" s="21">
        <v>700</v>
      </c>
      <c r="L4" s="21">
        <f>D4-E4-F4-G4-H4-I4-J4-K4</f>
        <v>401</v>
      </c>
      <c r="M4" s="79"/>
      <c r="N4" s="76" t="s">
        <v>708</v>
      </c>
      <c r="O4" s="21" t="s">
        <v>739</v>
      </c>
      <c r="P4" s="21">
        <v>0.47860962566844922</v>
      </c>
      <c r="Q4" s="21">
        <v>0</v>
      </c>
    </row>
    <row r="5" spans="1:17" x14ac:dyDescent="0.25">
      <c r="A5" s="78">
        <v>44163</v>
      </c>
      <c r="B5" s="80">
        <v>20082126331374</v>
      </c>
      <c r="C5" s="21" t="s">
        <v>224</v>
      </c>
      <c r="D5" s="21">
        <v>179</v>
      </c>
      <c r="E5" s="21">
        <v>0</v>
      </c>
      <c r="H5" s="21">
        <v>4</v>
      </c>
      <c r="I5" s="21">
        <v>0</v>
      </c>
      <c r="J5" s="21">
        <v>0</v>
      </c>
      <c r="K5" s="21">
        <v>100</v>
      </c>
      <c r="L5" s="21">
        <f>D5-E5-F5-G5-H5-I5-J5-K5</f>
        <v>75</v>
      </c>
      <c r="M5" s="79"/>
      <c r="N5" s="77" t="s">
        <v>328</v>
      </c>
      <c r="O5" s="21" t="s">
        <v>743</v>
      </c>
      <c r="P5" s="21">
        <v>1</v>
      </c>
      <c r="Q5" s="21">
        <v>0</v>
      </c>
    </row>
    <row r="6" spans="1:17" x14ac:dyDescent="0.25">
      <c r="A6" s="78">
        <v>44163</v>
      </c>
      <c r="B6" s="21" t="s">
        <v>579</v>
      </c>
      <c r="C6" s="21" t="s">
        <v>237</v>
      </c>
      <c r="D6" s="21">
        <v>300</v>
      </c>
      <c r="E6" s="21">
        <v>0</v>
      </c>
      <c r="F6" s="21">
        <v>0</v>
      </c>
      <c r="H6" s="21">
        <v>7.4349442379182147</v>
      </c>
      <c r="I6" s="21">
        <v>14.126394052044608</v>
      </c>
      <c r="J6" s="21">
        <v>2.9739776951672861</v>
      </c>
      <c r="K6" s="21">
        <v>180</v>
      </c>
      <c r="L6" s="21">
        <f>D6-E6-F6-G6-H6-I6-J6-K6</f>
        <v>95.464684014869931</v>
      </c>
      <c r="M6" s="79"/>
      <c r="N6" s="51" t="s">
        <v>306</v>
      </c>
      <c r="O6" s="21" t="s">
        <v>733</v>
      </c>
      <c r="P6" s="21">
        <v>0.4366812227074236</v>
      </c>
      <c r="Q6" s="21" t="s">
        <v>466</v>
      </c>
    </row>
    <row r="7" spans="1:17" x14ac:dyDescent="0.25">
      <c r="A7" s="78">
        <v>44164</v>
      </c>
      <c r="B7" s="80">
        <v>20080220114364</v>
      </c>
      <c r="C7" s="21" t="s">
        <v>224</v>
      </c>
      <c r="D7" s="21">
        <v>179</v>
      </c>
      <c r="E7" s="21">
        <v>0</v>
      </c>
      <c r="H7" s="21">
        <v>4</v>
      </c>
      <c r="I7" s="21">
        <v>0</v>
      </c>
      <c r="J7" s="21">
        <v>0</v>
      </c>
      <c r="K7" s="21">
        <v>100</v>
      </c>
      <c r="L7" s="21">
        <f>D7-E7-F7-G7-H7-I7-J7-K7</f>
        <v>75</v>
      </c>
      <c r="M7" s="79"/>
      <c r="N7" s="77" t="s">
        <v>328</v>
      </c>
      <c r="O7" s="21" t="s">
        <v>743</v>
      </c>
      <c r="P7" s="21">
        <v>0.37174721189591076</v>
      </c>
      <c r="Q7" s="21" t="s">
        <v>393</v>
      </c>
    </row>
    <row r="8" spans="1:17" x14ac:dyDescent="0.25">
      <c r="A8" s="78">
        <v>44776</v>
      </c>
      <c r="B8" s="43" t="s">
        <v>918</v>
      </c>
      <c r="C8" s="21" t="s">
        <v>236</v>
      </c>
      <c r="D8" s="21">
        <v>358</v>
      </c>
      <c r="E8" s="21">
        <v>8.0389221556886223</v>
      </c>
      <c r="F8" s="21">
        <v>0</v>
      </c>
      <c r="H8" s="21">
        <v>6.9670658682634725</v>
      </c>
      <c r="I8" s="21">
        <v>5.3592814371257482</v>
      </c>
      <c r="J8" s="21">
        <v>3.2155688622754486</v>
      </c>
      <c r="K8" s="21">
        <v>12</v>
      </c>
      <c r="L8" s="21">
        <f>D8-E8-F8-G8-H8-I8-J8-K8</f>
        <v>322.4191616766467</v>
      </c>
      <c r="M8" s="79"/>
      <c r="N8" s="51" t="s">
        <v>306</v>
      </c>
      <c r="O8" s="21" t="s">
        <v>1011</v>
      </c>
      <c r="P8" s="21">
        <v>0.5359281437125748</v>
      </c>
      <c r="Q8" s="21" t="s">
        <v>565</v>
      </c>
    </row>
    <row r="9" spans="1:17" x14ac:dyDescent="0.25">
      <c r="B9" s="21"/>
    </row>
    <row r="10" spans="1:17" x14ac:dyDescent="0.25">
      <c r="B10" s="21"/>
    </row>
    <row r="11" spans="1:17" x14ac:dyDescent="0.25">
      <c r="B11" s="21"/>
    </row>
    <row r="12" spans="1:17" x14ac:dyDescent="0.25">
      <c r="B12" s="21"/>
    </row>
  </sheetData>
  <autoFilter ref="A1:Q8" xr:uid="{00000000-0001-0000-0800-000000000000}"/>
  <sortState xmlns:xlrd2="http://schemas.microsoft.com/office/spreadsheetml/2017/richdata2" ref="A2:O8">
    <sortCondition ref="A1:A8"/>
  </sortState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/>
  <dimension ref="A1:O15"/>
  <sheetViews>
    <sheetView workbookViewId="0">
      <selection activeCell="H31" sqref="H31"/>
    </sheetView>
  </sheetViews>
  <sheetFormatPr defaultColWidth="8.88671875" defaultRowHeight="14.4" x14ac:dyDescent="0.25"/>
  <cols>
    <col min="1" max="1" width="5.5546875" style="21" bestFit="1" customWidth="1"/>
    <col min="2" max="2" width="7.5546875" style="21" bestFit="1" customWidth="1"/>
    <col min="3" max="3" width="6" style="21" bestFit="1" customWidth="1"/>
    <col min="4" max="4" width="6.109375" style="21" bestFit="1" customWidth="1"/>
    <col min="5" max="5" width="8.21875" style="21" bestFit="1" customWidth="1"/>
    <col min="6" max="6" width="16" style="21" bestFit="1" customWidth="1"/>
    <col min="7" max="7" width="18.88671875" style="21" bestFit="1" customWidth="1"/>
    <col min="8" max="8" width="18.88671875" style="21" customWidth="1"/>
    <col min="9" max="10" width="10.21875" style="21" bestFit="1" customWidth="1"/>
    <col min="11" max="12" width="6.109375" style="21" bestFit="1" customWidth="1"/>
    <col min="13" max="15" width="8.21875" style="21" bestFit="1" customWidth="1"/>
    <col min="16" max="16384" width="8.88671875" style="21"/>
  </cols>
  <sheetData>
    <row r="1" spans="1:15" x14ac:dyDescent="0.25">
      <c r="A1" s="21" t="s">
        <v>52</v>
      </c>
      <c r="B1" s="21" t="s">
        <v>53</v>
      </c>
      <c r="C1" s="21" t="s">
        <v>72</v>
      </c>
      <c r="D1" s="21" t="s">
        <v>191</v>
      </c>
      <c r="E1" s="21" t="s">
        <v>192</v>
      </c>
      <c r="F1" s="107" t="s">
        <v>869</v>
      </c>
      <c r="G1" s="107" t="s">
        <v>874</v>
      </c>
      <c r="H1" s="107" t="s">
        <v>875</v>
      </c>
      <c r="I1" s="107" t="s">
        <v>871</v>
      </c>
      <c r="J1" s="107" t="s">
        <v>872</v>
      </c>
      <c r="K1" s="107" t="s">
        <v>868</v>
      </c>
      <c r="L1" s="21" t="s">
        <v>873</v>
      </c>
      <c r="M1" s="21" t="s">
        <v>876</v>
      </c>
      <c r="N1" s="21" t="s">
        <v>877</v>
      </c>
      <c r="O1" s="21" t="s">
        <v>878</v>
      </c>
    </row>
    <row r="2" spans="1:15" x14ac:dyDescent="0.25">
      <c r="A2" s="21">
        <v>1</v>
      </c>
      <c r="B2" s="21">
        <v>0</v>
      </c>
      <c r="C2" s="21">
        <v>0</v>
      </c>
      <c r="D2" s="21">
        <v>0</v>
      </c>
      <c r="E2" s="21">
        <v>0</v>
      </c>
    </row>
    <row r="3" spans="1:15" x14ac:dyDescent="0.25">
      <c r="A3" s="21">
        <v>2</v>
      </c>
      <c r="B3" s="21">
        <v>0</v>
      </c>
      <c r="C3" s="21">
        <v>0</v>
      </c>
      <c r="D3" s="21">
        <v>0</v>
      </c>
      <c r="E3" s="21">
        <v>0</v>
      </c>
    </row>
    <row r="4" spans="1:15" x14ac:dyDescent="0.25">
      <c r="A4" s="21">
        <v>3</v>
      </c>
      <c r="B4" s="21">
        <v>0</v>
      </c>
      <c r="C4" s="21">
        <v>0</v>
      </c>
      <c r="D4" s="21">
        <v>0</v>
      </c>
      <c r="E4" s="21">
        <v>0</v>
      </c>
    </row>
    <row r="5" spans="1:15" x14ac:dyDescent="0.25">
      <c r="A5" s="21">
        <v>4</v>
      </c>
      <c r="B5" s="21">
        <v>0</v>
      </c>
      <c r="C5" s="21">
        <v>0</v>
      </c>
      <c r="D5" s="21">
        <v>0</v>
      </c>
      <c r="E5" s="21">
        <v>0</v>
      </c>
    </row>
    <row r="6" spans="1:15" x14ac:dyDescent="0.25">
      <c r="A6" s="21">
        <v>5</v>
      </c>
      <c r="B6" s="21">
        <v>0</v>
      </c>
      <c r="C6" s="21">
        <v>0</v>
      </c>
      <c r="D6" s="21">
        <v>0</v>
      </c>
      <c r="E6" s="21">
        <v>0</v>
      </c>
    </row>
    <row r="7" spans="1:15" x14ac:dyDescent="0.25">
      <c r="A7" s="21">
        <v>6</v>
      </c>
      <c r="B7" s="21">
        <v>0</v>
      </c>
      <c r="C7" s="21">
        <v>0</v>
      </c>
      <c r="D7" s="21">
        <v>0</v>
      </c>
      <c r="E7" s="21">
        <v>0</v>
      </c>
    </row>
    <row r="8" spans="1:15" x14ac:dyDescent="0.25">
      <c r="A8" s="21">
        <v>7</v>
      </c>
      <c r="B8" s="21">
        <v>0</v>
      </c>
      <c r="C8" s="21">
        <v>0</v>
      </c>
      <c r="D8" s="21">
        <v>0</v>
      </c>
      <c r="E8" s="21">
        <v>0</v>
      </c>
    </row>
    <row r="9" spans="1:15" x14ac:dyDescent="0.25">
      <c r="A9" s="21">
        <v>8</v>
      </c>
      <c r="B9" s="21">
        <v>0</v>
      </c>
      <c r="C9" s="21">
        <v>0</v>
      </c>
      <c r="D9" s="21">
        <v>0</v>
      </c>
      <c r="E9" s="21">
        <v>0</v>
      </c>
    </row>
    <row r="10" spans="1:15" x14ac:dyDescent="0.25">
      <c r="A10" s="21">
        <v>9</v>
      </c>
      <c r="B10" s="21">
        <v>0</v>
      </c>
      <c r="C10" s="21">
        <v>0</v>
      </c>
      <c r="D10" s="21">
        <v>0</v>
      </c>
      <c r="E10" s="21">
        <v>0</v>
      </c>
    </row>
    <row r="11" spans="1:15" x14ac:dyDescent="0.25">
      <c r="A11" s="21">
        <v>10</v>
      </c>
      <c r="B11" s="21">
        <v>0</v>
      </c>
      <c r="C11" s="21">
        <v>0</v>
      </c>
      <c r="D11" s="21">
        <v>0</v>
      </c>
      <c r="E11" s="21">
        <v>0</v>
      </c>
    </row>
    <row r="12" spans="1:15" x14ac:dyDescent="0.25">
      <c r="A12" s="21">
        <v>11</v>
      </c>
      <c r="B12" s="21">
        <v>2399</v>
      </c>
      <c r="C12" s="21">
        <v>1400</v>
      </c>
      <c r="D12" s="21">
        <v>101</v>
      </c>
      <c r="E12" s="21">
        <v>68</v>
      </c>
      <c r="I12" s="21">
        <v>10</v>
      </c>
      <c r="K12" s="21">
        <v>10</v>
      </c>
    </row>
    <row r="13" spans="1:15" x14ac:dyDescent="0.25">
      <c r="A13" s="21">
        <v>12</v>
      </c>
      <c r="B13" s="21">
        <v>0</v>
      </c>
      <c r="C13" s="21">
        <v>0</v>
      </c>
      <c r="D13" s="21">
        <v>0</v>
      </c>
      <c r="E13" s="21">
        <v>0</v>
      </c>
    </row>
    <row r="14" spans="1:15" x14ac:dyDescent="0.25">
      <c r="A14" s="21">
        <v>11</v>
      </c>
      <c r="B14" s="21">
        <v>2399</v>
      </c>
      <c r="C14" s="21">
        <v>1400</v>
      </c>
      <c r="D14" s="21">
        <v>101</v>
      </c>
      <c r="E14" s="21">
        <v>75</v>
      </c>
    </row>
    <row r="15" spans="1:15" x14ac:dyDescent="0.25">
      <c r="A15" s="21">
        <v>8</v>
      </c>
      <c r="B15" s="21">
        <v>358</v>
      </c>
      <c r="C15" s="21">
        <v>12</v>
      </c>
      <c r="D15" s="21">
        <v>8</v>
      </c>
      <c r="E15" s="21">
        <v>31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tabColor rgb="FFFFFF00"/>
  </sheetPr>
  <dimension ref="A1:I56"/>
  <sheetViews>
    <sheetView workbookViewId="0">
      <pane ySplit="1" topLeftCell="A32" activePane="bottomLeft" state="frozen"/>
      <selection pane="bottomLeft" activeCell="I59" sqref="I59"/>
    </sheetView>
  </sheetViews>
  <sheetFormatPr defaultRowHeight="13.2" x14ac:dyDescent="0.25"/>
  <cols>
    <col min="2" max="2" width="23.5546875" style="10" customWidth="1"/>
    <col min="3" max="3" width="9.109375" style="10" customWidth="1"/>
    <col min="7" max="7" width="15.33203125" style="6" customWidth="1"/>
    <col min="8" max="8" width="13.44140625" style="3" customWidth="1"/>
  </cols>
  <sheetData>
    <row r="1" spans="1:9" ht="13.8" x14ac:dyDescent="0.25">
      <c r="A1" s="2" t="s">
        <v>73</v>
      </c>
      <c r="B1" s="8" t="s">
        <v>74</v>
      </c>
      <c r="C1" s="8" t="s">
        <v>75</v>
      </c>
      <c r="D1" s="1" t="s">
        <v>76</v>
      </c>
      <c r="E1" s="1" t="s">
        <v>77</v>
      </c>
      <c r="F1" s="1" t="s">
        <v>78</v>
      </c>
      <c r="G1" s="5" t="s">
        <v>79</v>
      </c>
      <c r="H1" s="2" t="s">
        <v>84</v>
      </c>
    </row>
    <row r="2" spans="1:9" ht="15.6" x14ac:dyDescent="0.25">
      <c r="A2" s="4" t="s">
        <v>90</v>
      </c>
      <c r="B2" s="8" t="s">
        <v>92</v>
      </c>
      <c r="C2" s="8" t="s">
        <v>59</v>
      </c>
      <c r="D2">
        <v>50</v>
      </c>
      <c r="E2">
        <f t="shared" ref="E2:E15" si="0">F2/D2</f>
        <v>20</v>
      </c>
      <c r="F2">
        <v>1000</v>
      </c>
      <c r="G2" s="6">
        <v>44105</v>
      </c>
      <c r="H2" s="3" t="s">
        <v>126</v>
      </c>
      <c r="I2" s="15"/>
    </row>
    <row r="3" spans="1:9" ht="15.6" x14ac:dyDescent="0.25">
      <c r="A3" s="4" t="s">
        <v>90</v>
      </c>
      <c r="B3" s="8" t="s">
        <v>92</v>
      </c>
      <c r="C3" s="9" t="s">
        <v>103</v>
      </c>
      <c r="D3">
        <v>50</v>
      </c>
      <c r="E3">
        <f t="shared" si="0"/>
        <v>20</v>
      </c>
      <c r="F3">
        <v>1000</v>
      </c>
      <c r="G3" s="6">
        <v>44105</v>
      </c>
      <c r="H3" s="3" t="s">
        <v>126</v>
      </c>
      <c r="I3" s="15"/>
    </row>
    <row r="4" spans="1:9" ht="15.6" x14ac:dyDescent="0.25">
      <c r="A4" s="4" t="s">
        <v>90</v>
      </c>
      <c r="B4" s="8" t="s">
        <v>92</v>
      </c>
      <c r="C4" s="9" t="s">
        <v>104</v>
      </c>
      <c r="D4">
        <v>50</v>
      </c>
      <c r="E4">
        <f t="shared" si="0"/>
        <v>20</v>
      </c>
      <c r="F4">
        <v>1000</v>
      </c>
      <c r="G4" s="6">
        <v>44105</v>
      </c>
      <c r="H4" s="3" t="s">
        <v>126</v>
      </c>
      <c r="I4" s="15"/>
    </row>
    <row r="5" spans="1:9" ht="15.6" x14ac:dyDescent="0.25">
      <c r="A5" s="4" t="s">
        <v>90</v>
      </c>
      <c r="B5" s="8" t="s">
        <v>92</v>
      </c>
      <c r="C5" s="9" t="s">
        <v>105</v>
      </c>
      <c r="D5">
        <v>50</v>
      </c>
      <c r="E5">
        <f t="shared" si="0"/>
        <v>20</v>
      </c>
      <c r="F5">
        <v>1000</v>
      </c>
      <c r="G5" s="6">
        <v>44105</v>
      </c>
      <c r="H5" s="3" t="s">
        <v>126</v>
      </c>
      <c r="I5" s="15"/>
    </row>
    <row r="6" spans="1:9" ht="15.6" x14ac:dyDescent="0.25">
      <c r="A6" s="45" t="s">
        <v>90</v>
      </c>
      <c r="B6" s="8" t="s">
        <v>92</v>
      </c>
      <c r="C6" s="9" t="s">
        <v>106</v>
      </c>
      <c r="D6">
        <v>50</v>
      </c>
      <c r="E6">
        <f t="shared" si="0"/>
        <v>20</v>
      </c>
      <c r="F6">
        <v>1000</v>
      </c>
      <c r="G6" s="6">
        <v>44105</v>
      </c>
      <c r="H6" s="3" t="s">
        <v>126</v>
      </c>
      <c r="I6" s="15"/>
    </row>
    <row r="7" spans="1:9" ht="15.6" x14ac:dyDescent="0.25">
      <c r="A7" s="45" t="s">
        <v>90</v>
      </c>
      <c r="B7" s="8" t="s">
        <v>92</v>
      </c>
      <c r="C7" s="9" t="s">
        <v>107</v>
      </c>
      <c r="D7">
        <v>50</v>
      </c>
      <c r="E7">
        <f t="shared" si="0"/>
        <v>20</v>
      </c>
      <c r="F7">
        <v>1000</v>
      </c>
      <c r="G7" s="6">
        <v>44105</v>
      </c>
      <c r="H7" s="3" t="s">
        <v>126</v>
      </c>
      <c r="I7" s="15"/>
    </row>
    <row r="8" spans="1:9" ht="15.6" x14ac:dyDescent="0.25">
      <c r="A8" s="45" t="s">
        <v>90</v>
      </c>
      <c r="B8" s="8" t="s">
        <v>92</v>
      </c>
      <c r="C8" s="9" t="s">
        <v>108</v>
      </c>
      <c r="D8">
        <v>50</v>
      </c>
      <c r="E8">
        <f t="shared" si="0"/>
        <v>20</v>
      </c>
      <c r="F8">
        <v>1000</v>
      </c>
      <c r="G8" s="6">
        <v>44105</v>
      </c>
      <c r="H8" s="3" t="s">
        <v>126</v>
      </c>
      <c r="I8" s="15"/>
    </row>
    <row r="9" spans="1:9" ht="15.6" x14ac:dyDescent="0.25">
      <c r="A9" s="45" t="s">
        <v>90</v>
      </c>
      <c r="B9" s="8" t="s">
        <v>92</v>
      </c>
      <c r="C9" s="9" t="s">
        <v>109</v>
      </c>
      <c r="D9">
        <v>50</v>
      </c>
      <c r="E9">
        <f t="shared" si="0"/>
        <v>20</v>
      </c>
      <c r="F9">
        <v>1000</v>
      </c>
      <c r="G9" s="6">
        <v>44105</v>
      </c>
      <c r="H9" s="3" t="s">
        <v>126</v>
      </c>
      <c r="I9" s="15"/>
    </row>
    <row r="10" spans="1:9" ht="15.6" x14ac:dyDescent="0.25">
      <c r="A10" s="45" t="s">
        <v>90</v>
      </c>
      <c r="B10" s="8" t="s">
        <v>92</v>
      </c>
      <c r="C10" s="8" t="s">
        <v>110</v>
      </c>
      <c r="D10">
        <v>50</v>
      </c>
      <c r="E10">
        <f t="shared" si="0"/>
        <v>20</v>
      </c>
      <c r="F10">
        <v>1000</v>
      </c>
      <c r="G10" s="6">
        <v>44105</v>
      </c>
      <c r="H10" s="3" t="s">
        <v>126</v>
      </c>
      <c r="I10" s="15"/>
    </row>
    <row r="11" spans="1:9" ht="15.6" x14ac:dyDescent="0.25">
      <c r="A11" s="45" t="s">
        <v>90</v>
      </c>
      <c r="B11" s="8" t="s">
        <v>92</v>
      </c>
      <c r="C11" s="9" t="s">
        <v>111</v>
      </c>
      <c r="D11">
        <v>50</v>
      </c>
      <c r="E11">
        <f t="shared" si="0"/>
        <v>20</v>
      </c>
      <c r="F11">
        <v>1000</v>
      </c>
      <c r="G11" s="6">
        <v>44105</v>
      </c>
      <c r="H11" s="3" t="s">
        <v>126</v>
      </c>
      <c r="I11" s="15"/>
    </row>
    <row r="12" spans="1:9" ht="13.8" x14ac:dyDescent="0.25">
      <c r="A12" s="45" t="s">
        <v>91</v>
      </c>
      <c r="B12" s="8" t="s">
        <v>93</v>
      </c>
      <c r="C12" s="9" t="s">
        <v>112</v>
      </c>
      <c r="D12">
        <v>1</v>
      </c>
      <c r="E12">
        <f t="shared" si="0"/>
        <v>38</v>
      </c>
      <c r="F12">
        <v>38</v>
      </c>
      <c r="G12" s="6">
        <v>44105</v>
      </c>
      <c r="H12" s="3" t="s">
        <v>126</v>
      </c>
    </row>
    <row r="13" spans="1:9" ht="13.8" x14ac:dyDescent="0.25">
      <c r="A13" s="45" t="s">
        <v>91</v>
      </c>
      <c r="B13" s="8" t="s">
        <v>93</v>
      </c>
      <c r="C13" s="9" t="s">
        <v>113</v>
      </c>
      <c r="D13">
        <v>1</v>
      </c>
      <c r="E13">
        <f t="shared" si="0"/>
        <v>38</v>
      </c>
      <c r="F13">
        <v>38</v>
      </c>
      <c r="G13" s="6">
        <v>44105</v>
      </c>
      <c r="H13" s="3" t="s">
        <v>126</v>
      </c>
    </row>
    <row r="14" spans="1:9" ht="15.6" x14ac:dyDescent="0.25">
      <c r="A14" s="45" t="s">
        <v>91</v>
      </c>
      <c r="B14" s="8" t="s">
        <v>93</v>
      </c>
      <c r="C14" s="9" t="s">
        <v>112</v>
      </c>
      <c r="D14">
        <v>50</v>
      </c>
      <c r="E14">
        <f t="shared" si="0"/>
        <v>34</v>
      </c>
      <c r="F14">
        <v>1700</v>
      </c>
      <c r="G14" s="6">
        <v>44106</v>
      </c>
      <c r="H14" s="3" t="s">
        <v>126</v>
      </c>
      <c r="I14" s="15"/>
    </row>
    <row r="15" spans="1:9" ht="15.6" x14ac:dyDescent="0.25">
      <c r="A15" s="45" t="s">
        <v>91</v>
      </c>
      <c r="B15" s="8" t="s">
        <v>93</v>
      </c>
      <c r="C15" s="9" t="s">
        <v>113</v>
      </c>
      <c r="D15">
        <v>50</v>
      </c>
      <c r="E15">
        <f t="shared" si="0"/>
        <v>34</v>
      </c>
      <c r="F15">
        <v>1700</v>
      </c>
      <c r="G15" s="6">
        <v>44106</v>
      </c>
      <c r="H15" s="3" t="s">
        <v>126</v>
      </c>
      <c r="I15" s="15"/>
    </row>
    <row r="16" spans="1:9" ht="15.6" x14ac:dyDescent="0.25">
      <c r="A16" s="45" t="s">
        <v>186</v>
      </c>
      <c r="B16" s="8" t="s">
        <v>187</v>
      </c>
      <c r="C16" s="8" t="s">
        <v>54</v>
      </c>
      <c r="D16">
        <v>10</v>
      </c>
      <c r="E16">
        <v>100</v>
      </c>
      <c r="F16">
        <v>1000</v>
      </c>
      <c r="G16" s="6">
        <v>44109</v>
      </c>
      <c r="H16" s="3" t="s">
        <v>127</v>
      </c>
      <c r="I16" s="15"/>
    </row>
    <row r="17" spans="1:9" ht="15.6" x14ac:dyDescent="0.25">
      <c r="A17" s="45" t="s">
        <v>186</v>
      </c>
      <c r="B17" s="8" t="s">
        <v>187</v>
      </c>
      <c r="C17" s="8" t="s">
        <v>55</v>
      </c>
      <c r="D17">
        <v>15</v>
      </c>
      <c r="E17">
        <v>100</v>
      </c>
      <c r="F17">
        <v>1500</v>
      </c>
      <c r="G17" s="6">
        <v>44109</v>
      </c>
      <c r="H17" s="3" t="s">
        <v>127</v>
      </c>
      <c r="I17" s="15"/>
    </row>
    <row r="18" spans="1:9" ht="13.8" x14ac:dyDescent="0.25">
      <c r="A18" s="45" t="s">
        <v>101</v>
      </c>
      <c r="B18" s="8" t="s">
        <v>94</v>
      </c>
      <c r="C18" s="8" t="s">
        <v>60</v>
      </c>
      <c r="D18">
        <v>50</v>
      </c>
      <c r="E18">
        <f t="shared" ref="E18:E50" si="1">F18/D18</f>
        <v>24</v>
      </c>
      <c r="F18">
        <v>1200</v>
      </c>
      <c r="G18" s="6">
        <v>44109</v>
      </c>
      <c r="H18" s="3" t="s">
        <v>126</v>
      </c>
    </row>
    <row r="19" spans="1:9" ht="13.8" x14ac:dyDescent="0.25">
      <c r="A19" s="45" t="s">
        <v>101</v>
      </c>
      <c r="B19" s="8" t="s">
        <v>94</v>
      </c>
      <c r="C19" s="8" t="s">
        <v>61</v>
      </c>
      <c r="D19">
        <v>50</v>
      </c>
      <c r="E19">
        <f t="shared" si="1"/>
        <v>24</v>
      </c>
      <c r="F19">
        <v>1200</v>
      </c>
      <c r="G19" s="6">
        <v>44109</v>
      </c>
      <c r="H19" s="3" t="s">
        <v>126</v>
      </c>
    </row>
    <row r="20" spans="1:9" ht="13.8" x14ac:dyDescent="0.25">
      <c r="A20" s="45" t="s">
        <v>101</v>
      </c>
      <c r="B20" s="8" t="s">
        <v>94</v>
      </c>
      <c r="C20" s="8" t="s">
        <v>62</v>
      </c>
      <c r="D20">
        <v>50</v>
      </c>
      <c r="E20">
        <f t="shared" si="1"/>
        <v>24</v>
      </c>
      <c r="F20">
        <v>1200</v>
      </c>
      <c r="G20" s="6">
        <v>44109</v>
      </c>
      <c r="H20" s="3" t="s">
        <v>126</v>
      </c>
    </row>
    <row r="21" spans="1:9" ht="15.6" x14ac:dyDescent="0.25">
      <c r="A21" s="45" t="s">
        <v>101</v>
      </c>
      <c r="B21" s="8" t="s">
        <v>94</v>
      </c>
      <c r="C21" s="8" t="s">
        <v>60</v>
      </c>
      <c r="D21">
        <v>10</v>
      </c>
      <c r="E21">
        <f t="shared" si="1"/>
        <v>26</v>
      </c>
      <c r="F21">
        <v>260</v>
      </c>
      <c r="G21" s="6">
        <v>44109</v>
      </c>
      <c r="H21" s="3" t="s">
        <v>126</v>
      </c>
      <c r="I21" s="15"/>
    </row>
    <row r="22" spans="1:9" ht="15.6" x14ac:dyDescent="0.25">
      <c r="A22" s="45" t="s">
        <v>101</v>
      </c>
      <c r="B22" s="8" t="s">
        <v>94</v>
      </c>
      <c r="C22" s="8" t="s">
        <v>61</v>
      </c>
      <c r="D22">
        <v>10</v>
      </c>
      <c r="E22">
        <f t="shared" si="1"/>
        <v>26</v>
      </c>
      <c r="F22">
        <v>260</v>
      </c>
      <c r="G22" s="6">
        <v>44109</v>
      </c>
      <c r="H22" s="3" t="s">
        <v>126</v>
      </c>
      <c r="I22" s="15"/>
    </row>
    <row r="23" spans="1:9" ht="15.6" x14ac:dyDescent="0.25">
      <c r="A23" s="4" t="s">
        <v>101</v>
      </c>
      <c r="B23" s="8" t="s">
        <v>94</v>
      </c>
      <c r="C23" s="8" t="s">
        <v>62</v>
      </c>
      <c r="D23">
        <v>10</v>
      </c>
      <c r="E23">
        <f t="shared" si="1"/>
        <v>26</v>
      </c>
      <c r="F23">
        <v>260</v>
      </c>
      <c r="G23" s="6">
        <v>44109</v>
      </c>
      <c r="H23" s="3" t="s">
        <v>126</v>
      </c>
      <c r="I23" s="15"/>
    </row>
    <row r="24" spans="1:9" ht="15.6" x14ac:dyDescent="0.25">
      <c r="A24" s="4" t="s">
        <v>102</v>
      </c>
      <c r="B24" s="8" t="s">
        <v>100</v>
      </c>
      <c r="C24" s="8" t="s">
        <v>69</v>
      </c>
      <c r="D24">
        <v>50</v>
      </c>
      <c r="E24">
        <f t="shared" si="1"/>
        <v>36</v>
      </c>
      <c r="F24">
        <v>1800</v>
      </c>
      <c r="G24" s="6">
        <v>44114</v>
      </c>
      <c r="H24" s="3" t="s">
        <v>126</v>
      </c>
      <c r="I24" s="15"/>
    </row>
    <row r="25" spans="1:9" ht="15.6" x14ac:dyDescent="0.25">
      <c r="A25" s="4" t="s">
        <v>102</v>
      </c>
      <c r="B25" s="8" t="s">
        <v>100</v>
      </c>
      <c r="C25" s="8" t="s">
        <v>66</v>
      </c>
      <c r="D25">
        <v>50</v>
      </c>
      <c r="E25">
        <f t="shared" si="1"/>
        <v>36</v>
      </c>
      <c r="F25">
        <v>1800</v>
      </c>
      <c r="G25" s="6">
        <v>44114</v>
      </c>
      <c r="H25" s="3" t="s">
        <v>126</v>
      </c>
      <c r="I25" s="15"/>
    </row>
    <row r="26" spans="1:9" ht="15.6" x14ac:dyDescent="0.25">
      <c r="A26" s="4" t="s">
        <v>102</v>
      </c>
      <c r="B26" s="8" t="s">
        <v>100</v>
      </c>
      <c r="C26" s="8" t="s">
        <v>67</v>
      </c>
      <c r="D26">
        <v>50</v>
      </c>
      <c r="E26">
        <f t="shared" si="1"/>
        <v>36</v>
      </c>
      <c r="F26">
        <v>1800</v>
      </c>
      <c r="G26" s="6">
        <v>44114</v>
      </c>
      <c r="H26" s="3" t="s">
        <v>126</v>
      </c>
      <c r="I26" s="15"/>
    </row>
    <row r="27" spans="1:9" ht="15.6" x14ac:dyDescent="0.25">
      <c r="A27" s="4" t="s">
        <v>102</v>
      </c>
      <c r="B27" s="8" t="s">
        <v>100</v>
      </c>
      <c r="C27" s="8" t="s">
        <v>64</v>
      </c>
      <c r="D27">
        <v>50</v>
      </c>
      <c r="E27">
        <f t="shared" si="1"/>
        <v>36</v>
      </c>
      <c r="F27">
        <v>1800</v>
      </c>
      <c r="G27" s="6">
        <v>44114</v>
      </c>
      <c r="H27" s="3" t="s">
        <v>126</v>
      </c>
      <c r="I27" s="15"/>
    </row>
    <row r="28" spans="1:9" ht="15.6" x14ac:dyDescent="0.25">
      <c r="A28" s="4" t="s">
        <v>119</v>
      </c>
      <c r="B28" s="8" t="s">
        <v>99</v>
      </c>
      <c r="C28" s="8" t="s">
        <v>69</v>
      </c>
      <c r="D28">
        <v>50</v>
      </c>
      <c r="E28">
        <f t="shared" si="1"/>
        <v>40</v>
      </c>
      <c r="F28">
        <v>2000</v>
      </c>
      <c r="G28" s="6">
        <v>44114</v>
      </c>
      <c r="H28" s="3" t="s">
        <v>126</v>
      </c>
      <c r="I28" s="15"/>
    </row>
    <row r="29" spans="1:9" ht="15.6" x14ac:dyDescent="0.25">
      <c r="A29" s="4" t="s">
        <v>119</v>
      </c>
      <c r="B29" s="8" t="s">
        <v>99</v>
      </c>
      <c r="C29" s="8" t="s">
        <v>66</v>
      </c>
      <c r="D29">
        <v>50</v>
      </c>
      <c r="E29">
        <f t="shared" si="1"/>
        <v>40</v>
      </c>
      <c r="F29">
        <v>2000</v>
      </c>
      <c r="G29" s="6">
        <v>44114</v>
      </c>
      <c r="H29" s="3" t="s">
        <v>126</v>
      </c>
      <c r="I29" s="15"/>
    </row>
    <row r="30" spans="1:9" ht="15.6" x14ac:dyDescent="0.25">
      <c r="A30" s="4" t="s">
        <v>119</v>
      </c>
      <c r="B30" s="8" t="s">
        <v>99</v>
      </c>
      <c r="C30" s="8" t="s">
        <v>67</v>
      </c>
      <c r="D30">
        <v>50</v>
      </c>
      <c r="E30">
        <f t="shared" si="1"/>
        <v>40</v>
      </c>
      <c r="F30">
        <v>2000</v>
      </c>
      <c r="G30" s="6">
        <v>44114</v>
      </c>
      <c r="H30" s="3" t="s">
        <v>126</v>
      </c>
      <c r="I30" s="15"/>
    </row>
    <row r="31" spans="1:9" ht="15.6" x14ac:dyDescent="0.25">
      <c r="A31" s="4" t="s">
        <v>119</v>
      </c>
      <c r="B31" s="8" t="s">
        <v>99</v>
      </c>
      <c r="C31" s="8" t="s">
        <v>64</v>
      </c>
      <c r="D31">
        <v>50</v>
      </c>
      <c r="E31">
        <f t="shared" si="1"/>
        <v>40</v>
      </c>
      <c r="F31">
        <v>2000</v>
      </c>
      <c r="G31" s="6">
        <v>44114</v>
      </c>
      <c r="H31" s="3" t="s">
        <v>126</v>
      </c>
      <c r="I31" s="15"/>
    </row>
    <row r="32" spans="1:9" ht="15.6" x14ac:dyDescent="0.25">
      <c r="A32" s="4" t="s">
        <v>120</v>
      </c>
      <c r="B32" s="8" t="s">
        <v>95</v>
      </c>
      <c r="C32" s="8" t="s">
        <v>54</v>
      </c>
      <c r="D32">
        <v>50</v>
      </c>
      <c r="E32">
        <f t="shared" si="1"/>
        <v>6</v>
      </c>
      <c r="F32">
        <v>300</v>
      </c>
      <c r="G32" s="6">
        <v>44114</v>
      </c>
      <c r="H32" s="3" t="s">
        <v>127</v>
      </c>
      <c r="I32" s="15"/>
    </row>
    <row r="33" spans="1:9" ht="15.6" x14ac:dyDescent="0.25">
      <c r="A33" s="4" t="s">
        <v>120</v>
      </c>
      <c r="B33" s="8" t="s">
        <v>95</v>
      </c>
      <c r="C33" s="8" t="s">
        <v>55</v>
      </c>
      <c r="D33">
        <v>50</v>
      </c>
      <c r="E33">
        <f t="shared" si="1"/>
        <v>6</v>
      </c>
      <c r="F33">
        <v>300</v>
      </c>
      <c r="G33" s="6">
        <v>44114</v>
      </c>
      <c r="H33" s="3" t="s">
        <v>127</v>
      </c>
      <c r="I33" s="15"/>
    </row>
    <row r="34" spans="1:9" ht="15.6" x14ac:dyDescent="0.25">
      <c r="A34" s="4" t="s">
        <v>121</v>
      </c>
      <c r="B34" s="8" t="s">
        <v>96</v>
      </c>
      <c r="C34" s="10" t="s">
        <v>63</v>
      </c>
      <c r="D34">
        <v>50</v>
      </c>
      <c r="E34">
        <f t="shared" si="1"/>
        <v>24</v>
      </c>
      <c r="F34">
        <v>1200</v>
      </c>
      <c r="G34" s="6">
        <v>44124</v>
      </c>
      <c r="H34" s="3" t="s">
        <v>126</v>
      </c>
      <c r="I34" s="15"/>
    </row>
    <row r="35" spans="1:9" ht="15.6" x14ac:dyDescent="0.25">
      <c r="A35" s="4" t="s">
        <v>121</v>
      </c>
      <c r="B35" s="8" t="s">
        <v>96</v>
      </c>
      <c r="C35" s="10" t="s">
        <v>65</v>
      </c>
      <c r="D35">
        <v>50</v>
      </c>
      <c r="E35">
        <f t="shared" si="1"/>
        <v>24</v>
      </c>
      <c r="F35">
        <v>1200</v>
      </c>
      <c r="G35" s="6">
        <v>44124</v>
      </c>
      <c r="H35" s="3" t="s">
        <v>126</v>
      </c>
      <c r="I35" s="15"/>
    </row>
    <row r="36" spans="1:9" ht="15.6" x14ac:dyDescent="0.25">
      <c r="A36" s="4" t="s">
        <v>121</v>
      </c>
      <c r="B36" s="8" t="s">
        <v>96</v>
      </c>
      <c r="C36" s="10" t="s">
        <v>46</v>
      </c>
      <c r="D36">
        <v>50</v>
      </c>
      <c r="E36">
        <f t="shared" si="1"/>
        <v>24</v>
      </c>
      <c r="F36">
        <v>1200</v>
      </c>
      <c r="G36" s="6">
        <v>44124</v>
      </c>
      <c r="H36" s="3" t="s">
        <v>126</v>
      </c>
      <c r="I36" s="15"/>
    </row>
    <row r="37" spans="1:9" ht="15.6" x14ac:dyDescent="0.25">
      <c r="A37" s="4" t="s">
        <v>121</v>
      </c>
      <c r="B37" s="8" t="s">
        <v>96</v>
      </c>
      <c r="C37" s="10" t="s">
        <v>68</v>
      </c>
      <c r="D37">
        <v>50</v>
      </c>
      <c r="E37">
        <f t="shared" si="1"/>
        <v>24</v>
      </c>
      <c r="F37">
        <v>1200</v>
      </c>
      <c r="G37" s="6">
        <v>44124</v>
      </c>
      <c r="H37" s="3" t="s">
        <v>126</v>
      </c>
      <c r="I37" s="15"/>
    </row>
    <row r="38" spans="1:9" ht="15.6" x14ac:dyDescent="0.25">
      <c r="A38" s="4" t="s">
        <v>121</v>
      </c>
      <c r="B38" s="8" t="s">
        <v>96</v>
      </c>
      <c r="C38" s="10" t="s">
        <v>47</v>
      </c>
      <c r="D38">
        <v>50</v>
      </c>
      <c r="E38">
        <f t="shared" si="1"/>
        <v>24</v>
      </c>
      <c r="F38">
        <v>1200</v>
      </c>
      <c r="G38" s="6">
        <v>44124</v>
      </c>
      <c r="H38" s="3" t="s">
        <v>126</v>
      </c>
      <c r="I38" s="15"/>
    </row>
    <row r="39" spans="1:9" ht="15.6" x14ac:dyDescent="0.25">
      <c r="A39" s="4" t="s">
        <v>121</v>
      </c>
      <c r="B39" s="8" t="s">
        <v>96</v>
      </c>
      <c r="C39" s="10" t="s">
        <v>70</v>
      </c>
      <c r="D39">
        <v>50</v>
      </c>
      <c r="E39">
        <f t="shared" si="1"/>
        <v>24</v>
      </c>
      <c r="F39">
        <v>1200</v>
      </c>
      <c r="G39" s="6">
        <v>44124</v>
      </c>
      <c r="H39" s="3" t="s">
        <v>126</v>
      </c>
      <c r="I39" s="15"/>
    </row>
    <row r="40" spans="1:9" ht="15.6" x14ac:dyDescent="0.25">
      <c r="A40" s="4" t="s">
        <v>121</v>
      </c>
      <c r="B40" s="8" t="s">
        <v>96</v>
      </c>
      <c r="C40" s="10" t="s">
        <v>71</v>
      </c>
      <c r="D40">
        <v>50</v>
      </c>
      <c r="E40">
        <f t="shared" si="1"/>
        <v>24</v>
      </c>
      <c r="F40">
        <v>1200</v>
      </c>
      <c r="G40" s="6">
        <v>44124</v>
      </c>
      <c r="H40" s="3" t="s">
        <v>126</v>
      </c>
      <c r="I40" s="15"/>
    </row>
    <row r="41" spans="1:9" ht="15.6" x14ac:dyDescent="0.25">
      <c r="A41" s="4" t="s">
        <v>122</v>
      </c>
      <c r="B41" s="8" t="s">
        <v>97</v>
      </c>
      <c r="C41" s="9" t="s">
        <v>58</v>
      </c>
      <c r="D41">
        <v>50</v>
      </c>
      <c r="E41">
        <f t="shared" si="1"/>
        <v>80</v>
      </c>
      <c r="F41">
        <v>4000</v>
      </c>
      <c r="G41" s="6">
        <v>44124</v>
      </c>
      <c r="H41" s="3" t="s">
        <v>126</v>
      </c>
      <c r="I41" s="15"/>
    </row>
    <row r="42" spans="1:9" ht="15.6" x14ac:dyDescent="0.25">
      <c r="A42" s="4" t="s">
        <v>122</v>
      </c>
      <c r="B42" s="8" t="s">
        <v>97</v>
      </c>
      <c r="C42" s="9" t="s">
        <v>114</v>
      </c>
      <c r="D42">
        <v>50</v>
      </c>
      <c r="E42">
        <f t="shared" si="1"/>
        <v>80</v>
      </c>
      <c r="F42">
        <v>4000</v>
      </c>
      <c r="G42" s="6">
        <v>44124</v>
      </c>
      <c r="H42" s="3" t="s">
        <v>126</v>
      </c>
      <c r="I42" s="15"/>
    </row>
    <row r="43" spans="1:9" ht="15.6" x14ac:dyDescent="0.25">
      <c r="A43" s="4" t="s">
        <v>122</v>
      </c>
      <c r="B43" s="8" t="s">
        <v>97</v>
      </c>
      <c r="C43" s="8" t="s">
        <v>56</v>
      </c>
      <c r="D43">
        <v>50</v>
      </c>
      <c r="E43">
        <f t="shared" si="1"/>
        <v>80</v>
      </c>
      <c r="F43">
        <v>4000</v>
      </c>
      <c r="G43" s="6">
        <v>44124</v>
      </c>
      <c r="H43" s="3" t="s">
        <v>126</v>
      </c>
      <c r="I43" s="15"/>
    </row>
    <row r="44" spans="1:9" ht="15.6" x14ac:dyDescent="0.25">
      <c r="A44" s="4" t="s">
        <v>122</v>
      </c>
      <c r="B44" s="8" t="s">
        <v>97</v>
      </c>
      <c r="C44" s="9" t="s">
        <v>57</v>
      </c>
      <c r="D44">
        <v>50</v>
      </c>
      <c r="E44">
        <f t="shared" si="1"/>
        <v>80</v>
      </c>
      <c r="F44">
        <v>4000</v>
      </c>
      <c r="G44" s="6">
        <v>44124</v>
      </c>
      <c r="H44" s="3" t="s">
        <v>126</v>
      </c>
      <c r="I44" s="15"/>
    </row>
    <row r="45" spans="1:9" ht="15.6" x14ac:dyDescent="0.25">
      <c r="A45" s="4" t="s">
        <v>122</v>
      </c>
      <c r="B45" s="8" t="s">
        <v>97</v>
      </c>
      <c r="C45" s="9" t="s">
        <v>115</v>
      </c>
      <c r="D45">
        <v>50</v>
      </c>
      <c r="E45">
        <f t="shared" si="1"/>
        <v>80</v>
      </c>
      <c r="F45">
        <v>4000</v>
      </c>
      <c r="G45" s="6">
        <v>44124</v>
      </c>
      <c r="H45" s="3" t="s">
        <v>126</v>
      </c>
      <c r="I45" s="15"/>
    </row>
    <row r="46" spans="1:9" ht="15.6" x14ac:dyDescent="0.25">
      <c r="A46" s="4" t="s">
        <v>122</v>
      </c>
      <c r="B46" s="8" t="s">
        <v>97</v>
      </c>
      <c r="C46" s="8" t="s">
        <v>116</v>
      </c>
      <c r="D46">
        <v>50</v>
      </c>
      <c r="E46">
        <f t="shared" si="1"/>
        <v>80</v>
      </c>
      <c r="F46">
        <v>4000</v>
      </c>
      <c r="G46" s="6">
        <v>44124</v>
      </c>
      <c r="H46" s="3" t="s">
        <v>126</v>
      </c>
      <c r="I46" s="15"/>
    </row>
    <row r="47" spans="1:9" ht="15.6" x14ac:dyDescent="0.25">
      <c r="A47" s="4" t="s">
        <v>123</v>
      </c>
      <c r="B47" s="8" t="s">
        <v>98</v>
      </c>
      <c r="C47" s="8" t="s">
        <v>117</v>
      </c>
      <c r="D47">
        <v>50</v>
      </c>
      <c r="E47">
        <f t="shared" si="1"/>
        <v>22</v>
      </c>
      <c r="F47">
        <v>1100</v>
      </c>
      <c r="G47" s="6">
        <v>44124</v>
      </c>
      <c r="H47" s="3" t="s">
        <v>126</v>
      </c>
      <c r="I47" s="15"/>
    </row>
    <row r="48" spans="1:9" ht="15.6" x14ac:dyDescent="0.25">
      <c r="A48" s="4" t="s">
        <v>123</v>
      </c>
      <c r="B48" s="8" t="s">
        <v>98</v>
      </c>
      <c r="C48" s="9" t="s">
        <v>118</v>
      </c>
      <c r="D48">
        <v>50</v>
      </c>
      <c r="E48">
        <f t="shared" si="1"/>
        <v>22</v>
      </c>
      <c r="F48">
        <v>1100</v>
      </c>
      <c r="G48" s="6">
        <v>44124</v>
      </c>
      <c r="H48" s="3" t="s">
        <v>126</v>
      </c>
      <c r="I48" s="15"/>
    </row>
    <row r="49" spans="1:9" ht="15.6" x14ac:dyDescent="0.25">
      <c r="A49" s="4" t="s">
        <v>123</v>
      </c>
      <c r="B49" s="8" t="s">
        <v>98</v>
      </c>
      <c r="C49" s="9" t="s">
        <v>57</v>
      </c>
      <c r="D49">
        <v>50</v>
      </c>
      <c r="E49">
        <f t="shared" si="1"/>
        <v>22</v>
      </c>
      <c r="F49">
        <v>1100</v>
      </c>
      <c r="G49" s="6">
        <v>44124</v>
      </c>
      <c r="H49" s="3" t="s">
        <v>126</v>
      </c>
      <c r="I49" s="15"/>
    </row>
    <row r="50" spans="1:9" ht="13.8" x14ac:dyDescent="0.25">
      <c r="A50" s="4" t="s">
        <v>90</v>
      </c>
      <c r="B50" s="8" t="s">
        <v>92</v>
      </c>
      <c r="C50" s="20" t="s">
        <v>115</v>
      </c>
      <c r="D50">
        <v>50</v>
      </c>
      <c r="E50">
        <f t="shared" si="1"/>
        <v>20</v>
      </c>
      <c r="F50">
        <v>1000</v>
      </c>
      <c r="G50" s="6">
        <v>44125</v>
      </c>
      <c r="H50" s="3" t="s">
        <v>126</v>
      </c>
      <c r="I50" s="2"/>
    </row>
    <row r="51" spans="1:9" ht="13.8" x14ac:dyDescent="0.25">
      <c r="A51" t="s">
        <v>782</v>
      </c>
      <c r="B51" s="8" t="s">
        <v>783</v>
      </c>
      <c r="C51" s="8" t="s">
        <v>791</v>
      </c>
      <c r="D51">
        <v>1</v>
      </c>
      <c r="E51">
        <v>17</v>
      </c>
      <c r="F51">
        <v>17</v>
      </c>
      <c r="G51" s="6">
        <v>43831</v>
      </c>
      <c r="H51" s="3" t="s">
        <v>265</v>
      </c>
    </row>
    <row r="52" spans="1:9" ht="13.8" x14ac:dyDescent="0.25">
      <c r="A52" t="s">
        <v>784</v>
      </c>
      <c r="B52" s="8" t="s">
        <v>785</v>
      </c>
      <c r="C52" s="8" t="s">
        <v>47</v>
      </c>
      <c r="D52">
        <v>1</v>
      </c>
      <c r="E52">
        <v>28</v>
      </c>
      <c r="F52">
        <v>28</v>
      </c>
      <c r="G52" s="6">
        <v>43831</v>
      </c>
      <c r="H52" s="3" t="s">
        <v>265</v>
      </c>
    </row>
    <row r="53" spans="1:9" ht="13.8" x14ac:dyDescent="0.25">
      <c r="B53" s="8"/>
      <c r="C53" s="8"/>
    </row>
    <row r="54" spans="1:9" ht="13.8" x14ac:dyDescent="0.25">
      <c r="B54" s="8"/>
      <c r="C54" s="9"/>
    </row>
    <row r="55" spans="1:9" ht="13.8" x14ac:dyDescent="0.25">
      <c r="B55" s="8"/>
      <c r="C55" s="9"/>
    </row>
    <row r="56" spans="1:9" x14ac:dyDescent="0.25">
      <c r="C56" s="20"/>
    </row>
  </sheetData>
  <autoFilter ref="A1:J56" xr:uid="{00000000-0001-0000-0A00-000000000000}"/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/>
  <dimension ref="A1:AZ326"/>
  <sheetViews>
    <sheetView tabSelected="1" zoomScaleNormal="100" workbookViewId="0">
      <pane ySplit="1" topLeftCell="A68" activePane="bottomLeft" state="frozen"/>
      <selection pane="bottomLeft" activeCell="L12" sqref="L12"/>
    </sheetView>
  </sheetViews>
  <sheetFormatPr defaultColWidth="8.88671875" defaultRowHeight="14.4" x14ac:dyDescent="0.25"/>
  <cols>
    <col min="1" max="1" width="10.6640625" style="21" bestFit="1" customWidth="1"/>
    <col min="2" max="2" width="38.21875" style="21" bestFit="1" customWidth="1"/>
    <col min="3" max="3" width="27.44140625" style="21" bestFit="1" customWidth="1"/>
    <col min="4" max="4" width="11.77734375" style="21" bestFit="1" customWidth="1"/>
    <col min="5" max="5" width="7.5546875" style="21" bestFit="1" customWidth="1"/>
    <col min="6" max="6" width="5.5546875" style="21" bestFit="1" customWidth="1"/>
    <col min="7" max="7" width="17.109375" style="22" bestFit="1" customWidth="1"/>
    <col min="8" max="8" width="9.5546875" style="21" bestFit="1" customWidth="1"/>
    <col min="9" max="9" width="7.5546875" style="21" bestFit="1" customWidth="1"/>
    <col min="10" max="11" width="8.88671875" style="21"/>
    <col min="12" max="12" width="9.77734375" style="21" bestFit="1" customWidth="1"/>
    <col min="13" max="16384" width="8.88671875" style="21"/>
  </cols>
  <sheetData>
    <row r="1" spans="1:52" x14ac:dyDescent="0.25">
      <c r="A1" s="21" t="s">
        <v>73</v>
      </c>
      <c r="B1" s="21" t="s">
        <v>74</v>
      </c>
      <c r="C1" s="21" t="s">
        <v>75</v>
      </c>
      <c r="D1" s="21" t="s">
        <v>80</v>
      </c>
      <c r="E1" s="21" t="s">
        <v>77</v>
      </c>
      <c r="F1" s="21" t="s">
        <v>78</v>
      </c>
      <c r="G1" s="22" t="s">
        <v>81</v>
      </c>
      <c r="H1" s="21" t="s">
        <v>82</v>
      </c>
      <c r="I1" s="21" t="s">
        <v>83</v>
      </c>
    </row>
    <row r="2" spans="1:52" x14ac:dyDescent="0.25">
      <c r="A2" s="21" t="s">
        <v>256</v>
      </c>
      <c r="B2" s="21" t="s">
        <v>355</v>
      </c>
      <c r="C2" s="21" t="s">
        <v>356</v>
      </c>
      <c r="D2" s="21">
        <v>1</v>
      </c>
      <c r="E2" s="21" t="s">
        <v>402</v>
      </c>
      <c r="F2" s="21">
        <v>69</v>
      </c>
      <c r="G2" s="98">
        <v>44136</v>
      </c>
      <c r="H2" s="51" t="s">
        <v>306</v>
      </c>
      <c r="I2" s="21" t="s">
        <v>265</v>
      </c>
      <c r="AZ2" s="21" t="s">
        <v>774</v>
      </c>
    </row>
    <row r="3" spans="1:52" x14ac:dyDescent="0.25">
      <c r="A3" s="21" t="s">
        <v>256</v>
      </c>
      <c r="B3" s="21" t="s">
        <v>355</v>
      </c>
      <c r="C3" s="21" t="s">
        <v>357</v>
      </c>
      <c r="D3" s="21">
        <v>1</v>
      </c>
      <c r="E3" s="21" t="s">
        <v>402</v>
      </c>
      <c r="F3" s="21">
        <v>69</v>
      </c>
      <c r="G3" s="98">
        <v>44136</v>
      </c>
      <c r="H3" s="51" t="s">
        <v>306</v>
      </c>
      <c r="I3" s="21" t="s">
        <v>265</v>
      </c>
      <c r="AZ3" s="21" t="s">
        <v>771</v>
      </c>
    </row>
    <row r="4" spans="1:52" x14ac:dyDescent="0.25">
      <c r="A4" s="21" t="s">
        <v>263</v>
      </c>
      <c r="B4" s="21" t="s">
        <v>358</v>
      </c>
      <c r="C4" s="21" t="s">
        <v>359</v>
      </c>
      <c r="D4" s="21">
        <v>1</v>
      </c>
      <c r="E4" s="21" t="s">
        <v>430</v>
      </c>
      <c r="F4" s="21">
        <v>118</v>
      </c>
      <c r="G4" s="98">
        <v>44136</v>
      </c>
      <c r="H4" s="51" t="s">
        <v>306</v>
      </c>
      <c r="I4" s="21" t="s">
        <v>265</v>
      </c>
      <c r="AZ4" s="21" t="s">
        <v>780</v>
      </c>
    </row>
    <row r="5" spans="1:52" x14ac:dyDescent="0.25">
      <c r="A5" s="21" t="s">
        <v>263</v>
      </c>
      <c r="B5" s="21" t="s">
        <v>358</v>
      </c>
      <c r="C5" s="21" t="s">
        <v>360</v>
      </c>
      <c r="D5" s="21">
        <v>1</v>
      </c>
      <c r="E5" s="21" t="s">
        <v>430</v>
      </c>
      <c r="F5" s="21">
        <v>118</v>
      </c>
      <c r="G5" s="98">
        <v>44136</v>
      </c>
      <c r="H5" s="51" t="s">
        <v>306</v>
      </c>
      <c r="I5" s="21" t="s">
        <v>265</v>
      </c>
      <c r="AZ5" s="21" t="s">
        <v>776</v>
      </c>
    </row>
    <row r="6" spans="1:52" x14ac:dyDescent="0.25">
      <c r="A6" s="21" t="s">
        <v>263</v>
      </c>
      <c r="B6" s="21" t="s">
        <v>358</v>
      </c>
      <c r="C6" s="21" t="s">
        <v>361</v>
      </c>
      <c r="D6" s="21">
        <v>1</v>
      </c>
      <c r="E6" s="21" t="s">
        <v>430</v>
      </c>
      <c r="F6" s="21">
        <v>118</v>
      </c>
      <c r="G6" s="98">
        <v>44136</v>
      </c>
      <c r="H6" s="51" t="s">
        <v>306</v>
      </c>
      <c r="I6" s="21" t="s">
        <v>265</v>
      </c>
      <c r="AZ6" s="21" t="s">
        <v>775</v>
      </c>
    </row>
    <row r="7" spans="1:52" x14ac:dyDescent="0.25">
      <c r="A7" s="21" t="s">
        <v>261</v>
      </c>
      <c r="B7" s="21" t="s">
        <v>362</v>
      </c>
      <c r="C7" s="21" t="s">
        <v>363</v>
      </c>
      <c r="D7" s="21">
        <v>10</v>
      </c>
      <c r="E7" s="21" t="s">
        <v>444</v>
      </c>
      <c r="F7" s="21">
        <v>100</v>
      </c>
      <c r="G7" s="98">
        <v>44136</v>
      </c>
      <c r="H7" s="51" t="s">
        <v>306</v>
      </c>
      <c r="I7" s="21" t="s">
        <v>266</v>
      </c>
      <c r="AZ7" s="21" t="s">
        <v>773</v>
      </c>
    </row>
    <row r="8" spans="1:52" x14ac:dyDescent="0.25">
      <c r="A8" s="21" t="s">
        <v>261</v>
      </c>
      <c r="B8" s="21" t="s">
        <v>362</v>
      </c>
      <c r="C8" s="21" t="s">
        <v>364</v>
      </c>
      <c r="D8" s="21">
        <v>10</v>
      </c>
      <c r="E8" s="21" t="s">
        <v>444</v>
      </c>
      <c r="F8" s="21">
        <v>100</v>
      </c>
      <c r="G8" s="98">
        <v>44136</v>
      </c>
      <c r="H8" s="51" t="s">
        <v>306</v>
      </c>
      <c r="I8" s="21" t="s">
        <v>266</v>
      </c>
      <c r="AZ8" s="21" t="s">
        <v>779</v>
      </c>
    </row>
    <row r="9" spans="1:52" x14ac:dyDescent="0.25">
      <c r="A9" s="21" t="s">
        <v>255</v>
      </c>
      <c r="B9" s="21" t="s">
        <v>365</v>
      </c>
      <c r="C9" s="21" t="s">
        <v>366</v>
      </c>
      <c r="D9" s="21">
        <v>2</v>
      </c>
      <c r="E9" s="21" t="s">
        <v>482</v>
      </c>
      <c r="F9" s="21">
        <v>86</v>
      </c>
      <c r="G9" s="98">
        <v>44136</v>
      </c>
      <c r="H9" s="51" t="s">
        <v>306</v>
      </c>
      <c r="I9" s="21" t="s">
        <v>265</v>
      </c>
      <c r="AZ9" s="21" t="s">
        <v>772</v>
      </c>
    </row>
    <row r="10" spans="1:52" x14ac:dyDescent="0.25">
      <c r="A10" s="21" t="s">
        <v>255</v>
      </c>
      <c r="B10" s="21" t="s">
        <v>365</v>
      </c>
      <c r="C10" s="21" t="s">
        <v>367</v>
      </c>
      <c r="D10" s="21">
        <v>2</v>
      </c>
      <c r="E10" s="21" t="s">
        <v>482</v>
      </c>
      <c r="F10" s="21">
        <v>86</v>
      </c>
      <c r="G10" s="98">
        <v>44136</v>
      </c>
      <c r="H10" s="51" t="s">
        <v>306</v>
      </c>
      <c r="I10" s="21" t="s">
        <v>265</v>
      </c>
      <c r="AZ10" s="21" t="s">
        <v>778</v>
      </c>
    </row>
    <row r="11" spans="1:52" x14ac:dyDescent="0.25">
      <c r="A11" s="21" t="s">
        <v>255</v>
      </c>
      <c r="B11" s="21" t="s">
        <v>365</v>
      </c>
      <c r="C11" s="21" t="s">
        <v>368</v>
      </c>
      <c r="D11" s="21">
        <v>2</v>
      </c>
      <c r="E11" s="21" t="s">
        <v>482</v>
      </c>
      <c r="F11" s="21">
        <v>86</v>
      </c>
      <c r="G11" s="98">
        <v>44136</v>
      </c>
      <c r="H11" s="51" t="s">
        <v>306</v>
      </c>
      <c r="I11" s="21" t="s">
        <v>265</v>
      </c>
      <c r="AZ11" s="21" t="s">
        <v>777</v>
      </c>
    </row>
    <row r="12" spans="1:52" x14ac:dyDescent="0.25">
      <c r="A12" s="21" t="s">
        <v>256</v>
      </c>
      <c r="B12" s="21" t="s">
        <v>355</v>
      </c>
      <c r="C12" s="21" t="s">
        <v>357</v>
      </c>
      <c r="D12" s="21" t="s">
        <v>709</v>
      </c>
      <c r="E12" s="21" t="s">
        <v>710</v>
      </c>
      <c r="F12" s="21">
        <v>345</v>
      </c>
      <c r="G12" s="98">
        <v>44136</v>
      </c>
      <c r="H12" s="77" t="s">
        <v>328</v>
      </c>
      <c r="I12" s="21" t="s">
        <v>265</v>
      </c>
      <c r="AZ12" s="21" t="s">
        <v>818</v>
      </c>
    </row>
    <row r="13" spans="1:52" x14ac:dyDescent="0.25">
      <c r="A13" s="21" t="s">
        <v>256</v>
      </c>
      <c r="B13" s="21" t="s">
        <v>355</v>
      </c>
      <c r="C13" s="21" t="s">
        <v>356</v>
      </c>
      <c r="D13" s="21" t="s">
        <v>709</v>
      </c>
      <c r="E13" s="21" t="s">
        <v>710</v>
      </c>
      <c r="F13" s="21">
        <v>345</v>
      </c>
      <c r="G13" s="98">
        <v>44136</v>
      </c>
      <c r="H13" s="77" t="s">
        <v>328</v>
      </c>
      <c r="I13" s="21" t="s">
        <v>265</v>
      </c>
      <c r="AZ13" s="21" t="s">
        <v>817</v>
      </c>
    </row>
    <row r="14" spans="1:52" x14ac:dyDescent="0.25">
      <c r="A14" s="21" t="s">
        <v>260</v>
      </c>
      <c r="B14" s="21" t="s">
        <v>369</v>
      </c>
      <c r="C14" s="21" t="s">
        <v>68</v>
      </c>
      <c r="D14" s="21">
        <v>1</v>
      </c>
      <c r="E14" s="21" t="s">
        <v>494</v>
      </c>
      <c r="F14" s="21">
        <v>49</v>
      </c>
      <c r="G14" s="98">
        <v>44137</v>
      </c>
      <c r="H14" s="51" t="s">
        <v>306</v>
      </c>
      <c r="I14" s="21" t="s">
        <v>265</v>
      </c>
    </row>
    <row r="15" spans="1:52" x14ac:dyDescent="0.25">
      <c r="A15" s="21" t="s">
        <v>259</v>
      </c>
      <c r="B15" s="21" t="s">
        <v>370</v>
      </c>
      <c r="C15" s="21" t="s">
        <v>68</v>
      </c>
      <c r="D15" s="21">
        <v>1</v>
      </c>
      <c r="E15" s="21" t="s">
        <v>494</v>
      </c>
      <c r="F15" s="21">
        <v>49</v>
      </c>
      <c r="G15" s="98">
        <v>44137</v>
      </c>
      <c r="H15" s="51" t="s">
        <v>306</v>
      </c>
      <c r="I15" s="21" t="s">
        <v>265</v>
      </c>
    </row>
    <row r="16" spans="1:52" x14ac:dyDescent="0.25">
      <c r="A16" s="21" t="s">
        <v>260</v>
      </c>
      <c r="B16" s="21" t="s">
        <v>369</v>
      </c>
      <c r="C16" s="21" t="s">
        <v>65</v>
      </c>
      <c r="D16" s="21">
        <v>1</v>
      </c>
      <c r="E16" s="21" t="s">
        <v>494</v>
      </c>
      <c r="F16" s="21">
        <v>49</v>
      </c>
      <c r="G16" s="98">
        <v>44137</v>
      </c>
      <c r="H16" s="51" t="s">
        <v>306</v>
      </c>
      <c r="I16" s="21" t="s">
        <v>265</v>
      </c>
    </row>
    <row r="17" spans="1:9" x14ac:dyDescent="0.25">
      <c r="A17" s="21" t="s">
        <v>259</v>
      </c>
      <c r="B17" s="21" t="s">
        <v>370</v>
      </c>
      <c r="C17" s="21" t="s">
        <v>65</v>
      </c>
      <c r="D17" s="21">
        <v>1</v>
      </c>
      <c r="E17" s="21" t="s">
        <v>494</v>
      </c>
      <c r="F17" s="21">
        <v>49</v>
      </c>
      <c r="G17" s="98">
        <v>44137</v>
      </c>
      <c r="H17" s="51" t="s">
        <v>306</v>
      </c>
      <c r="I17" s="21" t="s">
        <v>265</v>
      </c>
    </row>
    <row r="18" spans="1:9" x14ac:dyDescent="0.25">
      <c r="A18" s="21" t="s">
        <v>260</v>
      </c>
      <c r="B18" s="21" t="s">
        <v>369</v>
      </c>
      <c r="C18" s="21" t="s">
        <v>46</v>
      </c>
      <c r="D18" s="21">
        <v>1</v>
      </c>
      <c r="E18" s="21" t="s">
        <v>494</v>
      </c>
      <c r="F18" s="21">
        <v>49</v>
      </c>
      <c r="G18" s="98">
        <v>44137</v>
      </c>
      <c r="H18" s="51" t="s">
        <v>306</v>
      </c>
      <c r="I18" s="21" t="s">
        <v>265</v>
      </c>
    </row>
    <row r="19" spans="1:9" x14ac:dyDescent="0.25">
      <c r="A19" s="21" t="s">
        <v>260</v>
      </c>
      <c r="B19" s="21" t="s">
        <v>369</v>
      </c>
      <c r="C19" s="21" t="s">
        <v>63</v>
      </c>
      <c r="D19" s="21">
        <v>1</v>
      </c>
      <c r="E19" s="21" t="s">
        <v>494</v>
      </c>
      <c r="F19" s="21">
        <v>49</v>
      </c>
      <c r="G19" s="98">
        <v>44137</v>
      </c>
      <c r="H19" s="51" t="s">
        <v>306</v>
      </c>
      <c r="I19" s="21" t="s">
        <v>265</v>
      </c>
    </row>
    <row r="20" spans="1:9" x14ac:dyDescent="0.25">
      <c r="A20" s="21" t="s">
        <v>256</v>
      </c>
      <c r="B20" s="21" t="s">
        <v>355</v>
      </c>
      <c r="C20" s="21" t="s">
        <v>356</v>
      </c>
      <c r="D20" s="21">
        <v>1</v>
      </c>
      <c r="E20" s="21" t="s">
        <v>402</v>
      </c>
      <c r="F20" s="21">
        <v>69</v>
      </c>
      <c r="G20" s="98">
        <v>44137</v>
      </c>
      <c r="H20" s="51" t="s">
        <v>306</v>
      </c>
      <c r="I20" s="21" t="s">
        <v>265</v>
      </c>
    </row>
    <row r="21" spans="1:9" x14ac:dyDescent="0.25">
      <c r="A21" s="21" t="s">
        <v>256</v>
      </c>
      <c r="B21" s="21" t="s">
        <v>355</v>
      </c>
      <c r="C21" s="21" t="s">
        <v>357</v>
      </c>
      <c r="D21" s="21">
        <v>1</v>
      </c>
      <c r="E21" s="21" t="s">
        <v>402</v>
      </c>
      <c r="F21" s="21">
        <v>69</v>
      </c>
      <c r="G21" s="98">
        <v>44137</v>
      </c>
      <c r="H21" s="51" t="s">
        <v>306</v>
      </c>
      <c r="I21" s="21" t="s">
        <v>265</v>
      </c>
    </row>
    <row r="22" spans="1:9" x14ac:dyDescent="0.25">
      <c r="A22" s="21" t="s">
        <v>255</v>
      </c>
      <c r="B22" s="21" t="s">
        <v>365</v>
      </c>
      <c r="C22" s="21" t="s">
        <v>361</v>
      </c>
      <c r="D22" s="21">
        <v>2</v>
      </c>
      <c r="E22" s="21">
        <v>39</v>
      </c>
      <c r="F22" s="21">
        <v>78</v>
      </c>
      <c r="G22" s="98">
        <v>44138</v>
      </c>
      <c r="H22" s="76" t="s">
        <v>708</v>
      </c>
      <c r="I22" s="21" t="s">
        <v>265</v>
      </c>
    </row>
    <row r="23" spans="1:9" x14ac:dyDescent="0.25">
      <c r="A23" s="21" t="s">
        <v>257</v>
      </c>
      <c r="B23" s="21" t="s">
        <v>382</v>
      </c>
      <c r="C23" s="21" t="s">
        <v>363</v>
      </c>
      <c r="D23" s="21">
        <v>2</v>
      </c>
      <c r="E23" s="21">
        <v>179</v>
      </c>
      <c r="F23" s="21">
        <v>358</v>
      </c>
      <c r="G23" s="98">
        <v>44138</v>
      </c>
      <c r="H23" s="76" t="s">
        <v>708</v>
      </c>
      <c r="I23" s="21" t="s">
        <v>266</v>
      </c>
    </row>
    <row r="24" spans="1:9" x14ac:dyDescent="0.25">
      <c r="A24" s="21" t="s">
        <v>264</v>
      </c>
      <c r="B24" s="21" t="s">
        <v>377</v>
      </c>
      <c r="C24" s="21" t="s">
        <v>361</v>
      </c>
      <c r="D24" s="21" t="s">
        <v>709</v>
      </c>
      <c r="E24" s="21" t="s">
        <v>711</v>
      </c>
      <c r="F24" s="21">
        <v>195</v>
      </c>
      <c r="G24" s="98">
        <v>44144</v>
      </c>
      <c r="H24" s="77" t="s">
        <v>328</v>
      </c>
      <c r="I24" s="21" t="s">
        <v>265</v>
      </c>
    </row>
    <row r="25" spans="1:9" x14ac:dyDescent="0.25">
      <c r="A25" s="21" t="s">
        <v>255</v>
      </c>
      <c r="B25" s="21" t="s">
        <v>365</v>
      </c>
      <c r="C25" s="21" t="s">
        <v>371</v>
      </c>
      <c r="D25" s="21">
        <v>1</v>
      </c>
      <c r="E25" s="21" t="s">
        <v>534</v>
      </c>
      <c r="F25" s="21">
        <v>37</v>
      </c>
      <c r="G25" s="98">
        <v>44146</v>
      </c>
      <c r="H25" s="51" t="s">
        <v>306</v>
      </c>
      <c r="I25" s="21" t="s">
        <v>265</v>
      </c>
    </row>
    <row r="26" spans="1:9" x14ac:dyDescent="0.25">
      <c r="A26" s="21" t="s">
        <v>255</v>
      </c>
      <c r="B26" s="21" t="s">
        <v>365</v>
      </c>
      <c r="C26" s="21" t="s">
        <v>368</v>
      </c>
      <c r="D26" s="21">
        <v>1</v>
      </c>
      <c r="E26" s="21" t="s">
        <v>534</v>
      </c>
      <c r="F26" s="21">
        <v>37</v>
      </c>
      <c r="G26" s="98">
        <v>44146</v>
      </c>
      <c r="H26" s="51" t="s">
        <v>306</v>
      </c>
      <c r="I26" s="21" t="s">
        <v>265</v>
      </c>
    </row>
    <row r="27" spans="1:9" x14ac:dyDescent="0.25">
      <c r="A27" s="21" t="s">
        <v>255</v>
      </c>
      <c r="B27" s="21" t="s">
        <v>365</v>
      </c>
      <c r="C27" s="21" t="s">
        <v>367</v>
      </c>
      <c r="D27" s="21">
        <v>1</v>
      </c>
      <c r="E27" s="21" t="s">
        <v>534</v>
      </c>
      <c r="F27" s="21">
        <v>37</v>
      </c>
      <c r="G27" s="98">
        <v>44146</v>
      </c>
      <c r="H27" s="51" t="s">
        <v>306</v>
      </c>
      <c r="I27" s="21" t="s">
        <v>265</v>
      </c>
    </row>
    <row r="28" spans="1:9" x14ac:dyDescent="0.25">
      <c r="A28" s="21" t="s">
        <v>255</v>
      </c>
      <c r="B28" s="21" t="s">
        <v>365</v>
      </c>
      <c r="C28" s="21" t="s">
        <v>372</v>
      </c>
      <c r="D28" s="21">
        <v>1</v>
      </c>
      <c r="E28" s="21" t="s">
        <v>534</v>
      </c>
      <c r="F28" s="21">
        <v>37</v>
      </c>
      <c r="G28" s="98">
        <v>44146</v>
      </c>
      <c r="H28" s="51" t="s">
        <v>306</v>
      </c>
      <c r="I28" s="21" t="s">
        <v>265</v>
      </c>
    </row>
    <row r="29" spans="1:9" x14ac:dyDescent="0.25">
      <c r="A29" s="21" t="s">
        <v>255</v>
      </c>
      <c r="B29" s="21" t="s">
        <v>365</v>
      </c>
      <c r="C29" s="21" t="s">
        <v>373</v>
      </c>
      <c r="D29" s="21">
        <v>1</v>
      </c>
      <c r="E29" s="21" t="s">
        <v>534</v>
      </c>
      <c r="F29" s="21">
        <v>37</v>
      </c>
      <c r="G29" s="98">
        <v>44146</v>
      </c>
      <c r="H29" s="51" t="s">
        <v>306</v>
      </c>
      <c r="I29" s="21" t="s">
        <v>265</v>
      </c>
    </row>
    <row r="30" spans="1:9" x14ac:dyDescent="0.25">
      <c r="A30" s="21" t="s">
        <v>255</v>
      </c>
      <c r="B30" s="21" t="s">
        <v>365</v>
      </c>
      <c r="C30" s="21" t="s">
        <v>366</v>
      </c>
      <c r="D30" s="21">
        <v>1</v>
      </c>
      <c r="E30" s="21" t="s">
        <v>534</v>
      </c>
      <c r="F30" s="21">
        <v>37</v>
      </c>
      <c r="G30" s="98">
        <v>44146</v>
      </c>
      <c r="H30" s="51" t="s">
        <v>306</v>
      </c>
      <c r="I30" s="21" t="s">
        <v>265</v>
      </c>
    </row>
    <row r="31" spans="1:9" x14ac:dyDescent="0.25">
      <c r="A31" s="21" t="s">
        <v>255</v>
      </c>
      <c r="B31" s="21" t="s">
        <v>365</v>
      </c>
      <c r="C31" s="21" t="s">
        <v>374</v>
      </c>
      <c r="D31" s="21">
        <v>3</v>
      </c>
      <c r="E31" s="21" t="s">
        <v>534</v>
      </c>
      <c r="F31" s="21">
        <v>111</v>
      </c>
      <c r="G31" s="98">
        <v>44146</v>
      </c>
      <c r="H31" s="51" t="s">
        <v>306</v>
      </c>
      <c r="I31" s="21" t="s">
        <v>265</v>
      </c>
    </row>
    <row r="32" spans="1:9" x14ac:dyDescent="0.25">
      <c r="A32" s="21" t="s">
        <v>255</v>
      </c>
      <c r="B32" s="21" t="s">
        <v>365</v>
      </c>
      <c r="C32" s="21" t="s">
        <v>375</v>
      </c>
      <c r="D32" s="21">
        <v>1</v>
      </c>
      <c r="E32" s="21" t="s">
        <v>534</v>
      </c>
      <c r="F32" s="21">
        <v>37</v>
      </c>
      <c r="G32" s="98">
        <v>44146</v>
      </c>
      <c r="H32" s="51" t="s">
        <v>306</v>
      </c>
      <c r="I32" s="21" t="s">
        <v>265</v>
      </c>
    </row>
    <row r="33" spans="1:9" x14ac:dyDescent="0.25">
      <c r="A33" s="21" t="s">
        <v>262</v>
      </c>
      <c r="B33" s="21" t="s">
        <v>376</v>
      </c>
      <c r="C33" s="21" t="s">
        <v>63</v>
      </c>
      <c r="D33" s="21">
        <v>2</v>
      </c>
      <c r="E33" s="21" t="s">
        <v>521</v>
      </c>
      <c r="F33" s="21">
        <v>78</v>
      </c>
      <c r="G33" s="98">
        <v>44146</v>
      </c>
      <c r="H33" s="51" t="s">
        <v>306</v>
      </c>
      <c r="I33" s="21" t="s">
        <v>265</v>
      </c>
    </row>
    <row r="34" spans="1:9" x14ac:dyDescent="0.25">
      <c r="A34" s="21" t="s">
        <v>262</v>
      </c>
      <c r="B34" s="21" t="s">
        <v>376</v>
      </c>
      <c r="C34" s="21" t="s">
        <v>65</v>
      </c>
      <c r="D34" s="21">
        <v>1</v>
      </c>
      <c r="E34" s="21" t="s">
        <v>521</v>
      </c>
      <c r="F34" s="21">
        <v>39</v>
      </c>
      <c r="G34" s="98">
        <v>44146</v>
      </c>
      <c r="H34" s="51" t="s">
        <v>306</v>
      </c>
      <c r="I34" s="21" t="s">
        <v>265</v>
      </c>
    </row>
    <row r="35" spans="1:9" x14ac:dyDescent="0.25">
      <c r="A35" s="21" t="s">
        <v>262</v>
      </c>
      <c r="B35" s="21" t="s">
        <v>376</v>
      </c>
      <c r="C35" s="21" t="s">
        <v>46</v>
      </c>
      <c r="D35" s="21">
        <v>2</v>
      </c>
      <c r="E35" s="21" t="s">
        <v>521</v>
      </c>
      <c r="F35" s="21">
        <v>78</v>
      </c>
      <c r="G35" s="98">
        <v>44146</v>
      </c>
      <c r="H35" s="51" t="s">
        <v>306</v>
      </c>
      <c r="I35" s="21" t="s">
        <v>265</v>
      </c>
    </row>
    <row r="36" spans="1:9" x14ac:dyDescent="0.25">
      <c r="A36" s="21" t="s">
        <v>257</v>
      </c>
      <c r="B36" s="21" t="s">
        <v>382</v>
      </c>
      <c r="C36" s="21" t="s">
        <v>364</v>
      </c>
      <c r="D36" s="21">
        <v>5</v>
      </c>
      <c r="E36" s="21">
        <v>165</v>
      </c>
      <c r="F36" s="21">
        <v>825</v>
      </c>
      <c r="G36" s="98">
        <v>44146</v>
      </c>
      <c r="H36" s="76" t="s">
        <v>708</v>
      </c>
      <c r="I36" s="21" t="s">
        <v>266</v>
      </c>
    </row>
    <row r="37" spans="1:9" x14ac:dyDescent="0.25">
      <c r="A37" s="21" t="s">
        <v>256</v>
      </c>
      <c r="B37" s="21" t="s">
        <v>355</v>
      </c>
      <c r="C37" s="21" t="s">
        <v>356</v>
      </c>
      <c r="D37" s="21" t="s">
        <v>712</v>
      </c>
      <c r="E37" s="21" t="s">
        <v>710</v>
      </c>
      <c r="F37" s="21">
        <v>690</v>
      </c>
      <c r="G37" s="98">
        <v>44146</v>
      </c>
      <c r="H37" s="77" t="s">
        <v>328</v>
      </c>
      <c r="I37" s="21" t="s">
        <v>265</v>
      </c>
    </row>
    <row r="38" spans="1:9" x14ac:dyDescent="0.25">
      <c r="A38" s="21" t="s">
        <v>255</v>
      </c>
      <c r="B38" s="21" t="s">
        <v>365</v>
      </c>
      <c r="C38" s="21" t="s">
        <v>368</v>
      </c>
      <c r="D38" s="21">
        <v>16</v>
      </c>
      <c r="E38" s="21">
        <v>39</v>
      </c>
      <c r="F38" s="21">
        <v>624</v>
      </c>
      <c r="G38" s="98">
        <v>44148</v>
      </c>
      <c r="H38" s="76" t="s">
        <v>708</v>
      </c>
      <c r="I38" s="21" t="s">
        <v>265</v>
      </c>
    </row>
    <row r="39" spans="1:9" x14ac:dyDescent="0.25">
      <c r="A39" s="21" t="s">
        <v>255</v>
      </c>
      <c r="B39" s="21" t="s">
        <v>365</v>
      </c>
      <c r="C39" s="21" t="s">
        <v>372</v>
      </c>
      <c r="D39" s="21">
        <v>18</v>
      </c>
      <c r="E39" s="21">
        <v>39</v>
      </c>
      <c r="F39" s="21">
        <v>702</v>
      </c>
      <c r="G39" s="98">
        <v>44148</v>
      </c>
      <c r="H39" s="76" t="s">
        <v>708</v>
      </c>
      <c r="I39" s="21" t="s">
        <v>265</v>
      </c>
    </row>
    <row r="40" spans="1:9" x14ac:dyDescent="0.25">
      <c r="A40" s="21" t="s">
        <v>257</v>
      </c>
      <c r="B40" s="21" t="s">
        <v>382</v>
      </c>
      <c r="C40" s="21" t="s">
        <v>364</v>
      </c>
      <c r="D40" s="21">
        <v>2</v>
      </c>
      <c r="E40" s="21">
        <v>179</v>
      </c>
      <c r="F40" s="21">
        <v>358</v>
      </c>
      <c r="G40" s="98">
        <v>44150</v>
      </c>
      <c r="H40" s="76" t="s">
        <v>708</v>
      </c>
      <c r="I40" s="21" t="s">
        <v>266</v>
      </c>
    </row>
    <row r="41" spans="1:9" x14ac:dyDescent="0.25">
      <c r="A41" s="21" t="s">
        <v>258</v>
      </c>
      <c r="B41" s="21" t="s">
        <v>378</v>
      </c>
      <c r="C41" s="21" t="s">
        <v>379</v>
      </c>
      <c r="D41" s="21" t="s">
        <v>709</v>
      </c>
      <c r="E41" s="21" t="s">
        <v>711</v>
      </c>
      <c r="F41" s="21">
        <v>195</v>
      </c>
      <c r="G41" s="98">
        <v>44156</v>
      </c>
      <c r="H41" s="77" t="s">
        <v>328</v>
      </c>
      <c r="I41" s="21" t="s">
        <v>265</v>
      </c>
    </row>
    <row r="42" spans="1:9" x14ac:dyDescent="0.25">
      <c r="A42" s="21" t="s">
        <v>256</v>
      </c>
      <c r="B42" s="21" t="s">
        <v>355</v>
      </c>
      <c r="C42" s="21" t="s">
        <v>357</v>
      </c>
      <c r="D42" s="21" t="s">
        <v>709</v>
      </c>
      <c r="E42" s="21" t="s">
        <v>710</v>
      </c>
      <c r="F42" s="21">
        <v>345</v>
      </c>
      <c r="G42" s="98">
        <v>44156</v>
      </c>
      <c r="H42" s="77" t="s">
        <v>328</v>
      </c>
      <c r="I42" s="21" t="s">
        <v>265</v>
      </c>
    </row>
    <row r="43" spans="1:9" x14ac:dyDescent="0.25">
      <c r="A43" s="21" t="s">
        <v>256</v>
      </c>
      <c r="B43" s="21" t="s">
        <v>355</v>
      </c>
      <c r="C43" s="21" t="s">
        <v>356</v>
      </c>
      <c r="D43" s="21" t="s">
        <v>709</v>
      </c>
      <c r="E43" s="21" t="s">
        <v>710</v>
      </c>
      <c r="F43" s="21">
        <v>345</v>
      </c>
      <c r="G43" s="98">
        <v>44156</v>
      </c>
      <c r="H43" s="77" t="s">
        <v>328</v>
      </c>
      <c r="I43" s="21" t="s">
        <v>265</v>
      </c>
    </row>
    <row r="44" spans="1:9" x14ac:dyDescent="0.25">
      <c r="A44" s="21" t="s">
        <v>264</v>
      </c>
      <c r="B44" s="21" t="s">
        <v>377</v>
      </c>
      <c r="C44" s="21" t="s">
        <v>361</v>
      </c>
      <c r="D44" s="21">
        <v>20</v>
      </c>
      <c r="E44" s="21" t="s">
        <v>521</v>
      </c>
      <c r="F44" s="21">
        <v>780</v>
      </c>
      <c r="G44" s="98">
        <v>44162</v>
      </c>
      <c r="H44" s="51" t="s">
        <v>306</v>
      </c>
      <c r="I44" s="21" t="s">
        <v>265</v>
      </c>
    </row>
    <row r="45" spans="1:9" x14ac:dyDescent="0.25">
      <c r="A45" s="21" t="s">
        <v>258</v>
      </c>
      <c r="B45" s="21" t="s">
        <v>378</v>
      </c>
      <c r="C45" s="21" t="s">
        <v>379</v>
      </c>
      <c r="D45" s="21">
        <v>1</v>
      </c>
      <c r="E45" s="21" t="s">
        <v>521</v>
      </c>
      <c r="F45" s="21">
        <v>39</v>
      </c>
      <c r="G45" s="98">
        <v>44163</v>
      </c>
      <c r="H45" s="51" t="s">
        <v>306</v>
      </c>
      <c r="I45" s="21" t="s">
        <v>265</v>
      </c>
    </row>
    <row r="46" spans="1:9" x14ac:dyDescent="0.25">
      <c r="A46" s="21" t="s">
        <v>258</v>
      </c>
      <c r="B46" s="21" t="s">
        <v>378</v>
      </c>
      <c r="C46" s="21" t="s">
        <v>380</v>
      </c>
      <c r="D46" s="21">
        <v>1</v>
      </c>
      <c r="E46" s="21" t="s">
        <v>521</v>
      </c>
      <c r="F46" s="21">
        <v>39</v>
      </c>
      <c r="G46" s="98">
        <v>44163</v>
      </c>
      <c r="H46" s="51" t="s">
        <v>306</v>
      </c>
      <c r="I46" s="21" t="s">
        <v>265</v>
      </c>
    </row>
    <row r="47" spans="1:9" x14ac:dyDescent="0.25">
      <c r="A47" s="21" t="s">
        <v>258</v>
      </c>
      <c r="B47" s="21" t="s">
        <v>378</v>
      </c>
      <c r="C47" s="21" t="s">
        <v>381</v>
      </c>
      <c r="D47" s="21">
        <v>1</v>
      </c>
      <c r="E47" s="21" t="s">
        <v>521</v>
      </c>
      <c r="F47" s="21">
        <v>39</v>
      </c>
      <c r="G47" s="98">
        <v>44163</v>
      </c>
      <c r="H47" s="51" t="s">
        <v>306</v>
      </c>
      <c r="I47" s="21" t="s">
        <v>265</v>
      </c>
    </row>
    <row r="48" spans="1:9" x14ac:dyDescent="0.25">
      <c r="A48" s="21" t="s">
        <v>262</v>
      </c>
      <c r="B48" s="21" t="s">
        <v>376</v>
      </c>
      <c r="C48" s="21" t="s">
        <v>63</v>
      </c>
      <c r="D48" s="21">
        <v>2</v>
      </c>
      <c r="E48" s="21" t="s">
        <v>521</v>
      </c>
      <c r="F48" s="21">
        <v>78</v>
      </c>
      <c r="G48" s="98">
        <v>44163</v>
      </c>
      <c r="H48" s="51" t="s">
        <v>306</v>
      </c>
      <c r="I48" s="21" t="s">
        <v>265</v>
      </c>
    </row>
    <row r="49" spans="1:9" x14ac:dyDescent="0.25">
      <c r="A49" s="21" t="s">
        <v>262</v>
      </c>
      <c r="B49" s="21" t="s">
        <v>376</v>
      </c>
      <c r="C49" s="21" t="s">
        <v>65</v>
      </c>
      <c r="D49" s="21">
        <v>1</v>
      </c>
      <c r="E49" s="21" t="s">
        <v>521</v>
      </c>
      <c r="F49" s="21">
        <v>39</v>
      </c>
      <c r="G49" s="98">
        <v>44163</v>
      </c>
      <c r="H49" s="51" t="s">
        <v>306</v>
      </c>
      <c r="I49" s="21" t="s">
        <v>265</v>
      </c>
    </row>
    <row r="50" spans="1:9" x14ac:dyDescent="0.25">
      <c r="A50" s="21" t="s">
        <v>262</v>
      </c>
      <c r="B50" s="21" t="s">
        <v>376</v>
      </c>
      <c r="C50" s="21" t="s">
        <v>46</v>
      </c>
      <c r="D50" s="21">
        <v>3</v>
      </c>
      <c r="E50" s="21" t="s">
        <v>521</v>
      </c>
      <c r="F50" s="21">
        <v>117</v>
      </c>
      <c r="G50" s="98">
        <v>44163</v>
      </c>
      <c r="H50" s="51" t="s">
        <v>306</v>
      </c>
      <c r="I50" s="21" t="s">
        <v>265</v>
      </c>
    </row>
    <row r="51" spans="1:9" x14ac:dyDescent="0.25">
      <c r="A51" s="21" t="s">
        <v>262</v>
      </c>
      <c r="B51" s="21" t="s">
        <v>376</v>
      </c>
      <c r="C51" s="21" t="s">
        <v>68</v>
      </c>
      <c r="D51" s="21">
        <v>1</v>
      </c>
      <c r="E51" s="21" t="s">
        <v>521</v>
      </c>
      <c r="F51" s="21">
        <v>39</v>
      </c>
      <c r="G51" s="98">
        <v>44163</v>
      </c>
      <c r="H51" s="51" t="s">
        <v>306</v>
      </c>
      <c r="I51" s="21" t="s">
        <v>265</v>
      </c>
    </row>
    <row r="52" spans="1:9" x14ac:dyDescent="0.25">
      <c r="A52" s="21" t="s">
        <v>261</v>
      </c>
      <c r="B52" s="21" t="s">
        <v>362</v>
      </c>
      <c r="C52" s="21" t="s">
        <v>364</v>
      </c>
      <c r="D52" s="21">
        <v>20</v>
      </c>
      <c r="E52" s="21" t="s">
        <v>444</v>
      </c>
      <c r="F52" s="21">
        <v>200</v>
      </c>
      <c r="G52" s="98">
        <v>44163</v>
      </c>
      <c r="H52" s="51" t="s">
        <v>306</v>
      </c>
      <c r="I52" s="21" t="s">
        <v>266</v>
      </c>
    </row>
    <row r="53" spans="1:9" x14ac:dyDescent="0.25">
      <c r="A53" s="21" t="s">
        <v>262</v>
      </c>
      <c r="B53" s="21" t="s">
        <v>376</v>
      </c>
      <c r="C53" s="21" t="s">
        <v>47</v>
      </c>
      <c r="D53" s="21">
        <v>1</v>
      </c>
      <c r="E53" s="21" t="s">
        <v>521</v>
      </c>
      <c r="F53" s="21">
        <v>39</v>
      </c>
      <c r="G53" s="98">
        <v>44163</v>
      </c>
      <c r="H53" s="51" t="s">
        <v>306</v>
      </c>
      <c r="I53" s="21" t="s">
        <v>265</v>
      </c>
    </row>
    <row r="54" spans="1:9" x14ac:dyDescent="0.25">
      <c r="A54" s="21" t="s">
        <v>262</v>
      </c>
      <c r="B54" s="21" t="s">
        <v>376</v>
      </c>
      <c r="C54" s="21" t="s">
        <v>70</v>
      </c>
      <c r="D54" s="21">
        <v>1</v>
      </c>
      <c r="E54" s="21" t="s">
        <v>521</v>
      </c>
      <c r="F54" s="21">
        <v>39</v>
      </c>
      <c r="G54" s="98">
        <v>44163</v>
      </c>
      <c r="H54" s="51" t="s">
        <v>306</v>
      </c>
      <c r="I54" s="21" t="s">
        <v>265</v>
      </c>
    </row>
    <row r="55" spans="1:9" x14ac:dyDescent="0.25">
      <c r="A55" s="21" t="s">
        <v>262</v>
      </c>
      <c r="B55" s="21" t="s">
        <v>376</v>
      </c>
      <c r="C55" s="21" t="s">
        <v>71</v>
      </c>
      <c r="D55" s="21">
        <v>1</v>
      </c>
      <c r="E55" s="21" t="s">
        <v>521</v>
      </c>
      <c r="F55" s="21">
        <v>39</v>
      </c>
      <c r="G55" s="98">
        <v>44163</v>
      </c>
      <c r="H55" s="51" t="s">
        <v>306</v>
      </c>
      <c r="I55" s="21" t="s">
        <v>265</v>
      </c>
    </row>
    <row r="56" spans="1:9" x14ac:dyDescent="0.25">
      <c r="A56" s="21" t="s">
        <v>261</v>
      </c>
      <c r="B56" s="21" t="s">
        <v>362</v>
      </c>
      <c r="C56" s="21" t="s">
        <v>364</v>
      </c>
      <c r="D56" s="21">
        <v>10</v>
      </c>
      <c r="E56" s="21" t="s">
        <v>444</v>
      </c>
      <c r="F56" s="21">
        <v>100</v>
      </c>
      <c r="G56" s="98">
        <v>44163</v>
      </c>
      <c r="H56" s="51" t="s">
        <v>306</v>
      </c>
      <c r="I56" s="21" t="s">
        <v>266</v>
      </c>
    </row>
    <row r="57" spans="1:9" x14ac:dyDescent="0.25">
      <c r="A57" s="21" t="s">
        <v>255</v>
      </c>
      <c r="B57" s="21" t="s">
        <v>365</v>
      </c>
      <c r="C57" s="21" t="s">
        <v>383</v>
      </c>
      <c r="D57" s="21" t="s">
        <v>713</v>
      </c>
      <c r="E57" s="21" t="s">
        <v>711</v>
      </c>
      <c r="F57" s="21">
        <v>39</v>
      </c>
      <c r="G57" s="98">
        <v>44163</v>
      </c>
      <c r="H57" s="77" t="s">
        <v>328</v>
      </c>
      <c r="I57" s="21" t="s">
        <v>265</v>
      </c>
    </row>
    <row r="58" spans="1:9" x14ac:dyDescent="0.25">
      <c r="A58" s="21" t="s">
        <v>255</v>
      </c>
      <c r="B58" s="21" t="s">
        <v>365</v>
      </c>
      <c r="C58" s="21" t="s">
        <v>372</v>
      </c>
      <c r="D58" s="21" t="s">
        <v>713</v>
      </c>
      <c r="E58" s="21" t="s">
        <v>711</v>
      </c>
      <c r="F58" s="21">
        <v>39</v>
      </c>
      <c r="G58" s="98">
        <v>44163</v>
      </c>
      <c r="H58" s="77" t="s">
        <v>328</v>
      </c>
      <c r="I58" s="21" t="s">
        <v>265</v>
      </c>
    </row>
    <row r="59" spans="1:9" x14ac:dyDescent="0.25">
      <c r="A59" s="21" t="s">
        <v>255</v>
      </c>
      <c r="B59" s="21" t="s">
        <v>365</v>
      </c>
      <c r="C59" s="21" t="s">
        <v>373</v>
      </c>
      <c r="D59" s="21" t="s">
        <v>713</v>
      </c>
      <c r="E59" s="21" t="s">
        <v>711</v>
      </c>
      <c r="F59" s="21">
        <v>39</v>
      </c>
      <c r="G59" s="98">
        <v>44163</v>
      </c>
      <c r="H59" s="77" t="s">
        <v>328</v>
      </c>
      <c r="I59" s="21" t="s">
        <v>265</v>
      </c>
    </row>
    <row r="60" spans="1:9" x14ac:dyDescent="0.25">
      <c r="A60" s="21" t="s">
        <v>255</v>
      </c>
      <c r="B60" s="21" t="s">
        <v>365</v>
      </c>
      <c r="C60" s="21" t="s">
        <v>374</v>
      </c>
      <c r="D60" s="21" t="s">
        <v>713</v>
      </c>
      <c r="E60" s="21" t="s">
        <v>711</v>
      </c>
      <c r="F60" s="21">
        <v>39</v>
      </c>
      <c r="G60" s="98">
        <v>44163</v>
      </c>
      <c r="H60" s="77" t="s">
        <v>328</v>
      </c>
      <c r="I60" s="21" t="s">
        <v>265</v>
      </c>
    </row>
    <row r="61" spans="1:9" x14ac:dyDescent="0.25">
      <c r="A61" s="21" t="s">
        <v>255</v>
      </c>
      <c r="B61" s="21" t="s">
        <v>365</v>
      </c>
      <c r="C61" s="21" t="s">
        <v>361</v>
      </c>
      <c r="D61" s="21" t="s">
        <v>713</v>
      </c>
      <c r="E61" s="21" t="s">
        <v>711</v>
      </c>
      <c r="F61" s="21">
        <v>39</v>
      </c>
      <c r="G61" s="98">
        <v>44163</v>
      </c>
      <c r="H61" s="77" t="s">
        <v>328</v>
      </c>
      <c r="I61" s="21" t="s">
        <v>265</v>
      </c>
    </row>
    <row r="62" spans="1:9" x14ac:dyDescent="0.25">
      <c r="A62" s="21" t="s">
        <v>257</v>
      </c>
      <c r="B62" s="21" t="s">
        <v>382</v>
      </c>
      <c r="C62" s="21" t="s">
        <v>364</v>
      </c>
      <c r="D62" s="21" t="s">
        <v>713</v>
      </c>
      <c r="E62" s="21" t="s">
        <v>714</v>
      </c>
      <c r="F62" s="21">
        <v>179</v>
      </c>
      <c r="G62" s="98">
        <v>44163</v>
      </c>
      <c r="H62" s="77" t="s">
        <v>328</v>
      </c>
      <c r="I62" s="21" t="s">
        <v>266</v>
      </c>
    </row>
    <row r="63" spans="1:9" x14ac:dyDescent="0.25">
      <c r="A63" s="21" t="s">
        <v>256</v>
      </c>
      <c r="B63" s="21" t="s">
        <v>355</v>
      </c>
      <c r="C63" s="21" t="s">
        <v>356</v>
      </c>
      <c r="D63" s="21">
        <v>10</v>
      </c>
      <c r="E63" s="21">
        <v>69</v>
      </c>
      <c r="F63" s="21">
        <v>690</v>
      </c>
      <c r="G63" s="98">
        <v>44164</v>
      </c>
      <c r="H63" s="76" t="s">
        <v>708</v>
      </c>
      <c r="I63" s="21" t="s">
        <v>265</v>
      </c>
    </row>
    <row r="64" spans="1:9" x14ac:dyDescent="0.25">
      <c r="A64" s="21" t="s">
        <v>257</v>
      </c>
      <c r="B64" s="21" t="s">
        <v>382</v>
      </c>
      <c r="C64" s="21" t="s">
        <v>364</v>
      </c>
      <c r="D64" s="21" t="s">
        <v>713</v>
      </c>
      <c r="E64" s="21" t="s">
        <v>714</v>
      </c>
      <c r="F64" s="21">
        <v>179</v>
      </c>
      <c r="G64" s="98">
        <v>44164</v>
      </c>
      <c r="H64" s="77" t="s">
        <v>328</v>
      </c>
      <c r="I64" s="21" t="s">
        <v>266</v>
      </c>
    </row>
    <row r="65" spans="1:9" x14ac:dyDescent="0.25">
      <c r="A65" s="21" t="s">
        <v>782</v>
      </c>
      <c r="B65" s="21" t="s">
        <v>783</v>
      </c>
      <c r="C65" s="21" t="s">
        <v>790</v>
      </c>
      <c r="D65" s="21">
        <v>1</v>
      </c>
      <c r="E65" s="21">
        <v>45</v>
      </c>
      <c r="F65" s="21">
        <v>45</v>
      </c>
      <c r="G65" s="98">
        <v>44165</v>
      </c>
      <c r="H65" s="51" t="s">
        <v>306</v>
      </c>
      <c r="I65" s="21" t="s">
        <v>265</v>
      </c>
    </row>
    <row r="66" spans="1:9" x14ac:dyDescent="0.25">
      <c r="A66" s="21" t="s">
        <v>784</v>
      </c>
      <c r="B66" s="21" t="s">
        <v>785</v>
      </c>
      <c r="C66" s="21" t="s">
        <v>47</v>
      </c>
      <c r="D66" s="21">
        <v>1</v>
      </c>
      <c r="E66" s="21">
        <v>50</v>
      </c>
      <c r="F66" s="21">
        <v>50</v>
      </c>
      <c r="G66" s="98">
        <v>44165</v>
      </c>
      <c r="H66" s="51" t="s">
        <v>306</v>
      </c>
      <c r="I66" s="21" t="s">
        <v>265</v>
      </c>
    </row>
    <row r="67" spans="1:9" x14ac:dyDescent="0.25">
      <c r="A67" s="79" t="s">
        <v>348</v>
      </c>
      <c r="B67" s="21" t="s">
        <v>809</v>
      </c>
      <c r="C67" s="21" t="s">
        <v>797</v>
      </c>
      <c r="D67" s="21">
        <v>1</v>
      </c>
      <c r="E67" s="21">
        <v>500</v>
      </c>
      <c r="F67" s="21">
        <v>500</v>
      </c>
      <c r="G67" s="98">
        <v>44165</v>
      </c>
      <c r="H67" s="51" t="s">
        <v>306</v>
      </c>
      <c r="I67" s="79" t="s">
        <v>265</v>
      </c>
    </row>
    <row r="68" spans="1:9" x14ac:dyDescent="0.25">
      <c r="A68" s="79" t="s">
        <v>348</v>
      </c>
      <c r="B68" s="21" t="s">
        <v>810</v>
      </c>
      <c r="C68" s="21" t="s">
        <v>802</v>
      </c>
      <c r="D68" s="21">
        <v>1</v>
      </c>
      <c r="E68" s="21">
        <v>600</v>
      </c>
      <c r="F68" s="21">
        <v>600</v>
      </c>
      <c r="G68" s="98">
        <v>44165</v>
      </c>
      <c r="H68" s="51" t="s">
        <v>306</v>
      </c>
      <c r="I68" s="79" t="s">
        <v>265</v>
      </c>
    </row>
    <row r="69" spans="1:9" x14ac:dyDescent="0.25">
      <c r="A69" s="21" t="s">
        <v>256</v>
      </c>
      <c r="B69" s="21" t="s">
        <v>355</v>
      </c>
      <c r="C69" s="21" t="s">
        <v>356</v>
      </c>
      <c r="D69" s="21">
        <v>5</v>
      </c>
      <c r="E69" s="21">
        <v>69</v>
      </c>
      <c r="F69" s="21">
        <v>345</v>
      </c>
      <c r="G69" s="98">
        <v>44165</v>
      </c>
      <c r="H69" s="76" t="s">
        <v>708</v>
      </c>
      <c r="I69" s="21" t="s">
        <v>265</v>
      </c>
    </row>
    <row r="70" spans="1:9" x14ac:dyDescent="0.25">
      <c r="A70" s="21" t="s">
        <v>256</v>
      </c>
      <c r="B70" s="21" t="s">
        <v>355</v>
      </c>
      <c r="C70" s="21" t="s">
        <v>357</v>
      </c>
      <c r="D70" s="21">
        <v>9</v>
      </c>
      <c r="E70" s="21">
        <v>69</v>
      </c>
      <c r="F70" s="21">
        <v>621</v>
      </c>
      <c r="G70" s="98">
        <v>44165</v>
      </c>
      <c r="H70" s="76" t="s">
        <v>708</v>
      </c>
      <c r="I70" s="21" t="s">
        <v>265</v>
      </c>
    </row>
    <row r="71" spans="1:9" x14ac:dyDescent="0.25">
      <c r="A71" s="79" t="s">
        <v>348</v>
      </c>
      <c r="B71" s="21" t="s">
        <v>859</v>
      </c>
      <c r="C71" s="21" t="s">
        <v>1002</v>
      </c>
      <c r="D71" s="21">
        <v>10</v>
      </c>
      <c r="E71" s="21">
        <v>69</v>
      </c>
      <c r="F71" s="21">
        <v>690</v>
      </c>
      <c r="G71" s="129">
        <v>44479</v>
      </c>
      <c r="H71" s="77" t="s">
        <v>328</v>
      </c>
      <c r="I71" s="79" t="s">
        <v>265</v>
      </c>
    </row>
    <row r="72" spans="1:9" x14ac:dyDescent="0.25">
      <c r="A72" s="79" t="s">
        <v>348</v>
      </c>
      <c r="C72" s="21" t="s">
        <v>802</v>
      </c>
      <c r="D72" s="21">
        <v>1</v>
      </c>
      <c r="E72" s="21" t="s">
        <v>829</v>
      </c>
      <c r="F72" s="21">
        <v>134</v>
      </c>
      <c r="G72" s="98">
        <v>44510</v>
      </c>
      <c r="H72" s="51" t="s">
        <v>306</v>
      </c>
      <c r="I72" s="79" t="s">
        <v>265</v>
      </c>
    </row>
    <row r="73" spans="1:9" x14ac:dyDescent="0.25">
      <c r="A73" s="79" t="s">
        <v>348</v>
      </c>
      <c r="D73" s="21">
        <v>1</v>
      </c>
      <c r="E73" s="21" t="s">
        <v>829</v>
      </c>
      <c r="F73" s="21">
        <v>134</v>
      </c>
      <c r="G73" s="98">
        <v>44510</v>
      </c>
      <c r="H73" s="51" t="s">
        <v>306</v>
      </c>
      <c r="I73" s="79" t="s">
        <v>265</v>
      </c>
    </row>
    <row r="74" spans="1:9" x14ac:dyDescent="0.25">
      <c r="A74" s="79" t="s">
        <v>348</v>
      </c>
      <c r="B74" s="21" t="s">
        <v>859</v>
      </c>
      <c r="C74" s="21" t="s">
        <v>934</v>
      </c>
      <c r="D74" s="21">
        <v>1</v>
      </c>
      <c r="E74" s="21" t="s">
        <v>829</v>
      </c>
      <c r="F74" s="21">
        <v>134</v>
      </c>
      <c r="G74" s="129">
        <v>44510</v>
      </c>
      <c r="H74" s="51" t="s">
        <v>306</v>
      </c>
      <c r="I74" s="79" t="s">
        <v>265</v>
      </c>
    </row>
    <row r="75" spans="1:9" x14ac:dyDescent="0.25">
      <c r="A75" s="79" t="s">
        <v>348</v>
      </c>
      <c r="B75" s="21" t="s">
        <v>859</v>
      </c>
      <c r="C75" s="21" t="s">
        <v>997</v>
      </c>
      <c r="D75" s="21">
        <v>1</v>
      </c>
      <c r="E75" s="21" t="s">
        <v>402</v>
      </c>
      <c r="F75" s="21">
        <v>69</v>
      </c>
      <c r="G75" s="129">
        <v>44510</v>
      </c>
      <c r="H75" s="51" t="s">
        <v>306</v>
      </c>
      <c r="I75" s="79" t="s">
        <v>265</v>
      </c>
    </row>
    <row r="76" spans="1:9" x14ac:dyDescent="0.25">
      <c r="A76" s="79" t="s">
        <v>348</v>
      </c>
      <c r="B76" s="21" t="s">
        <v>859</v>
      </c>
      <c r="C76" s="21" t="s">
        <v>998</v>
      </c>
      <c r="D76" s="21">
        <v>1</v>
      </c>
      <c r="E76" s="21" t="s">
        <v>402</v>
      </c>
      <c r="F76" s="21">
        <v>69</v>
      </c>
      <c r="G76" s="129">
        <v>44510</v>
      </c>
      <c r="H76" s="51" t="s">
        <v>306</v>
      </c>
      <c r="I76" s="79" t="s">
        <v>265</v>
      </c>
    </row>
    <row r="77" spans="1:9" x14ac:dyDescent="0.25">
      <c r="A77" s="79" t="s">
        <v>348</v>
      </c>
      <c r="B77" s="21" t="s">
        <v>859</v>
      </c>
      <c r="C77" s="21" t="s">
        <v>999</v>
      </c>
      <c r="D77" s="21">
        <v>1</v>
      </c>
      <c r="E77" s="21" t="s">
        <v>402</v>
      </c>
      <c r="F77" s="21">
        <v>69</v>
      </c>
      <c r="G77" s="129">
        <v>44510</v>
      </c>
      <c r="H77" s="51" t="s">
        <v>306</v>
      </c>
      <c r="I77" s="79" t="s">
        <v>265</v>
      </c>
    </row>
    <row r="78" spans="1:9" x14ac:dyDescent="0.25">
      <c r="A78" s="79" t="s">
        <v>348</v>
      </c>
      <c r="B78" s="21" t="s">
        <v>1000</v>
      </c>
      <c r="C78" s="21" t="s">
        <v>536</v>
      </c>
      <c r="D78" s="21">
        <v>1</v>
      </c>
      <c r="E78" s="21" t="s">
        <v>482</v>
      </c>
      <c r="F78" s="21">
        <v>43</v>
      </c>
      <c r="G78" s="129">
        <v>44774</v>
      </c>
      <c r="H78" s="51" t="s">
        <v>306</v>
      </c>
      <c r="I78" s="79" t="s">
        <v>265</v>
      </c>
    </row>
    <row r="79" spans="1:9" x14ac:dyDescent="0.25">
      <c r="A79" s="79" t="s">
        <v>348</v>
      </c>
      <c r="B79" s="21" t="s">
        <v>1000</v>
      </c>
      <c r="C79" s="21" t="s">
        <v>897</v>
      </c>
      <c r="D79" s="21">
        <v>1</v>
      </c>
      <c r="E79" s="21" t="s">
        <v>482</v>
      </c>
      <c r="F79" s="21">
        <v>43</v>
      </c>
      <c r="G79" s="129">
        <v>44774</v>
      </c>
      <c r="H79" s="51" t="s">
        <v>306</v>
      </c>
      <c r="I79" s="79" t="s">
        <v>265</v>
      </c>
    </row>
    <row r="80" spans="1:9" x14ac:dyDescent="0.25">
      <c r="A80" s="79" t="s">
        <v>348</v>
      </c>
      <c r="B80" s="21" t="s">
        <v>1000</v>
      </c>
      <c r="C80" s="21" t="s">
        <v>898</v>
      </c>
      <c r="D80" s="21">
        <v>1</v>
      </c>
      <c r="E80" s="21" t="s">
        <v>482</v>
      </c>
      <c r="F80" s="21">
        <v>43</v>
      </c>
      <c r="G80" s="129">
        <v>44774</v>
      </c>
      <c r="H80" s="51" t="s">
        <v>306</v>
      </c>
      <c r="I80" s="79" t="s">
        <v>265</v>
      </c>
    </row>
    <row r="81" spans="1:9" x14ac:dyDescent="0.25">
      <c r="A81" s="79" t="s">
        <v>348</v>
      </c>
      <c r="B81" s="21" t="s">
        <v>1000</v>
      </c>
      <c r="C81" s="21" t="s">
        <v>906</v>
      </c>
      <c r="D81" s="21">
        <v>10</v>
      </c>
      <c r="E81" s="21" t="s">
        <v>907</v>
      </c>
      <c r="F81" s="21">
        <v>400</v>
      </c>
      <c r="G81" s="129">
        <v>44774</v>
      </c>
      <c r="H81" s="51" t="s">
        <v>306</v>
      </c>
      <c r="I81" s="79" t="s">
        <v>265</v>
      </c>
    </row>
    <row r="82" spans="1:9" x14ac:dyDescent="0.25">
      <c r="A82" s="79" t="s">
        <v>348</v>
      </c>
      <c r="B82" s="21" t="s">
        <v>1000</v>
      </c>
      <c r="C82" s="21" t="s">
        <v>906</v>
      </c>
      <c r="D82" s="21">
        <v>7</v>
      </c>
      <c r="E82" s="21" t="s">
        <v>482</v>
      </c>
      <c r="F82" s="21">
        <v>301</v>
      </c>
      <c r="G82" s="129">
        <v>44774</v>
      </c>
      <c r="H82" s="51" t="s">
        <v>306</v>
      </c>
      <c r="I82" s="79" t="s">
        <v>265</v>
      </c>
    </row>
    <row r="83" spans="1:9" x14ac:dyDescent="0.25">
      <c r="A83" s="79" t="s">
        <v>348</v>
      </c>
      <c r="B83" s="21" t="s">
        <v>989</v>
      </c>
      <c r="C83" s="21" t="s">
        <v>956</v>
      </c>
      <c r="D83" s="21">
        <v>2</v>
      </c>
      <c r="E83" s="21">
        <v>67</v>
      </c>
      <c r="F83" s="21">
        <v>134</v>
      </c>
      <c r="G83" s="129">
        <v>44775</v>
      </c>
      <c r="H83" s="77" t="s">
        <v>328</v>
      </c>
      <c r="I83" s="79" t="s">
        <v>265</v>
      </c>
    </row>
    <row r="84" spans="1:9" x14ac:dyDescent="0.25">
      <c r="A84" s="79" t="s">
        <v>348</v>
      </c>
      <c r="B84" s="21" t="s">
        <v>989</v>
      </c>
      <c r="C84" s="21" t="s">
        <v>934</v>
      </c>
      <c r="D84" s="21">
        <v>2</v>
      </c>
      <c r="E84" s="21">
        <v>67</v>
      </c>
      <c r="F84" s="21">
        <v>134</v>
      </c>
      <c r="G84" s="129">
        <v>44775</v>
      </c>
      <c r="H84" s="77" t="s">
        <v>328</v>
      </c>
      <c r="I84" s="79" t="s">
        <v>265</v>
      </c>
    </row>
    <row r="85" spans="1:9" x14ac:dyDescent="0.25">
      <c r="A85" s="79" t="s">
        <v>348</v>
      </c>
      <c r="B85" s="21" t="s">
        <v>989</v>
      </c>
      <c r="C85" s="21" t="s">
        <v>1003</v>
      </c>
      <c r="D85" s="21">
        <v>2</v>
      </c>
      <c r="E85" s="21">
        <v>67</v>
      </c>
      <c r="F85" s="21">
        <v>134</v>
      </c>
      <c r="G85" s="129">
        <v>44775</v>
      </c>
      <c r="H85" s="77" t="s">
        <v>328</v>
      </c>
      <c r="I85" s="79" t="s">
        <v>265</v>
      </c>
    </row>
    <row r="86" spans="1:9" x14ac:dyDescent="0.25">
      <c r="A86" s="79" t="s">
        <v>348</v>
      </c>
      <c r="B86" s="21" t="s">
        <v>989</v>
      </c>
      <c r="C86" s="21" t="s">
        <v>1004</v>
      </c>
      <c r="D86" s="21">
        <v>2</v>
      </c>
      <c r="E86" s="21">
        <v>67</v>
      </c>
      <c r="F86" s="21">
        <v>134</v>
      </c>
      <c r="G86" s="129">
        <v>44775</v>
      </c>
      <c r="H86" s="77" t="s">
        <v>328</v>
      </c>
      <c r="I86" s="79" t="s">
        <v>265</v>
      </c>
    </row>
    <row r="87" spans="1:9" x14ac:dyDescent="0.25">
      <c r="A87" s="21" t="s">
        <v>261</v>
      </c>
      <c r="B87" s="21" t="s">
        <v>362</v>
      </c>
      <c r="C87" s="21" t="s">
        <v>363</v>
      </c>
      <c r="D87" s="21">
        <v>1</v>
      </c>
      <c r="E87" s="21" t="s">
        <v>924</v>
      </c>
      <c r="F87" s="21">
        <v>179</v>
      </c>
      <c r="G87" s="129">
        <v>44776</v>
      </c>
      <c r="H87" s="51" t="s">
        <v>306</v>
      </c>
      <c r="I87" s="21" t="s">
        <v>266</v>
      </c>
    </row>
    <row r="88" spans="1:9" x14ac:dyDescent="0.25">
      <c r="A88" s="79" t="s">
        <v>348</v>
      </c>
      <c r="B88" s="21" t="s">
        <v>1000</v>
      </c>
      <c r="C88" s="21" t="s">
        <v>933</v>
      </c>
      <c r="D88" s="21">
        <v>1</v>
      </c>
      <c r="E88" s="21" t="s">
        <v>482</v>
      </c>
      <c r="F88" s="21">
        <v>43</v>
      </c>
      <c r="G88" s="129">
        <v>44776</v>
      </c>
      <c r="H88" s="51" t="s">
        <v>306</v>
      </c>
      <c r="I88" s="79" t="s">
        <v>265</v>
      </c>
    </row>
    <row r="89" spans="1:9" x14ac:dyDescent="0.25">
      <c r="A89" s="79" t="s">
        <v>348</v>
      </c>
      <c r="B89" s="21" t="s">
        <v>1000</v>
      </c>
      <c r="C89" s="21" t="s">
        <v>934</v>
      </c>
      <c r="D89" s="21">
        <v>1</v>
      </c>
      <c r="E89" s="21" t="s">
        <v>482</v>
      </c>
      <c r="F89" s="21">
        <v>43</v>
      </c>
      <c r="G89" s="129">
        <v>44776</v>
      </c>
      <c r="H89" s="51" t="s">
        <v>306</v>
      </c>
      <c r="I89" s="79" t="s">
        <v>265</v>
      </c>
    </row>
    <row r="90" spans="1:9" x14ac:dyDescent="0.25">
      <c r="A90" s="79" t="s">
        <v>348</v>
      </c>
      <c r="B90" s="21" t="s">
        <v>1001</v>
      </c>
      <c r="C90" s="21" t="s">
        <v>934</v>
      </c>
      <c r="D90" s="21">
        <v>1</v>
      </c>
      <c r="E90" s="21" t="s">
        <v>402</v>
      </c>
      <c r="F90" s="21">
        <v>69</v>
      </c>
      <c r="G90" s="129">
        <v>44776</v>
      </c>
      <c r="H90" s="51" t="s">
        <v>306</v>
      </c>
      <c r="I90" s="79" t="s">
        <v>265</v>
      </c>
    </row>
    <row r="91" spans="1:9" x14ac:dyDescent="0.25">
      <c r="A91" s="79" t="s">
        <v>348</v>
      </c>
      <c r="B91" s="21" t="s">
        <v>989</v>
      </c>
      <c r="C91" s="21" t="s">
        <v>934</v>
      </c>
      <c r="D91" s="21">
        <v>1</v>
      </c>
      <c r="E91" s="21" t="s">
        <v>943</v>
      </c>
      <c r="F91" s="21">
        <v>63</v>
      </c>
      <c r="G91" s="129">
        <v>44781</v>
      </c>
      <c r="H91" s="51" t="s">
        <v>306</v>
      </c>
      <c r="I91" s="79" t="s">
        <v>265</v>
      </c>
    </row>
    <row r="92" spans="1:9" x14ac:dyDescent="0.25">
      <c r="A92" s="79" t="s">
        <v>348</v>
      </c>
      <c r="B92" s="21" t="s">
        <v>989</v>
      </c>
      <c r="C92" s="21" t="s">
        <v>955</v>
      </c>
      <c r="D92" s="21">
        <v>1</v>
      </c>
      <c r="E92" s="21" t="s">
        <v>943</v>
      </c>
      <c r="F92" s="21">
        <v>63</v>
      </c>
      <c r="G92" s="129">
        <v>44781</v>
      </c>
      <c r="H92" s="51" t="s">
        <v>306</v>
      </c>
      <c r="I92" s="79" t="s">
        <v>265</v>
      </c>
    </row>
    <row r="93" spans="1:9" x14ac:dyDescent="0.25">
      <c r="A93" s="79" t="s">
        <v>348</v>
      </c>
      <c r="B93" s="21" t="s">
        <v>989</v>
      </c>
      <c r="C93" s="21" t="s">
        <v>956</v>
      </c>
      <c r="D93" s="21">
        <v>1</v>
      </c>
      <c r="E93" s="21" t="s">
        <v>943</v>
      </c>
      <c r="F93" s="21">
        <v>63</v>
      </c>
      <c r="G93" s="129">
        <v>44781</v>
      </c>
      <c r="H93" s="51" t="s">
        <v>306</v>
      </c>
      <c r="I93" s="79" t="s">
        <v>265</v>
      </c>
    </row>
    <row r="94" spans="1:9" x14ac:dyDescent="0.25">
      <c r="A94" s="79" t="s">
        <v>348</v>
      </c>
      <c r="B94" s="21" t="s">
        <v>989</v>
      </c>
      <c r="C94" s="21" t="s">
        <v>510</v>
      </c>
      <c r="D94" s="21">
        <v>1</v>
      </c>
      <c r="E94" s="21" t="s">
        <v>943</v>
      </c>
      <c r="F94" s="21">
        <v>63</v>
      </c>
      <c r="G94" s="129">
        <v>44781</v>
      </c>
      <c r="H94" s="51" t="s">
        <v>306</v>
      </c>
      <c r="I94" s="79" t="s">
        <v>265</v>
      </c>
    </row>
    <row r="95" spans="1:9" x14ac:dyDescent="0.25">
      <c r="A95" s="79" t="s">
        <v>348</v>
      </c>
      <c r="B95" s="21" t="s">
        <v>989</v>
      </c>
      <c r="C95" s="21" t="s">
        <v>511</v>
      </c>
      <c r="D95" s="21">
        <v>1</v>
      </c>
      <c r="E95" s="21" t="s">
        <v>943</v>
      </c>
      <c r="F95" s="21">
        <v>63</v>
      </c>
      <c r="G95" s="129">
        <v>44781</v>
      </c>
      <c r="H95" s="51" t="s">
        <v>306</v>
      </c>
      <c r="I95" s="79" t="s">
        <v>265</v>
      </c>
    </row>
    <row r="96" spans="1:9" x14ac:dyDescent="0.25">
      <c r="A96" s="79" t="s">
        <v>348</v>
      </c>
      <c r="B96" s="21" t="s">
        <v>989</v>
      </c>
      <c r="C96" s="21" t="s">
        <v>957</v>
      </c>
      <c r="D96" s="21">
        <v>1</v>
      </c>
      <c r="E96" s="21" t="s">
        <v>943</v>
      </c>
      <c r="F96" s="21">
        <v>63</v>
      </c>
      <c r="G96" s="129">
        <v>44781</v>
      </c>
      <c r="H96" s="51" t="s">
        <v>306</v>
      </c>
      <c r="I96" s="79" t="s">
        <v>265</v>
      </c>
    </row>
    <row r="97" spans="1:9" x14ac:dyDescent="0.25">
      <c r="A97" s="79" t="s">
        <v>348</v>
      </c>
      <c r="B97" s="21" t="s">
        <v>989</v>
      </c>
      <c r="C97" s="21" t="s">
        <v>958</v>
      </c>
      <c r="D97" s="21">
        <v>1</v>
      </c>
      <c r="E97" s="21" t="s">
        <v>943</v>
      </c>
      <c r="F97" s="21">
        <v>63</v>
      </c>
      <c r="G97" s="129">
        <v>44781</v>
      </c>
      <c r="H97" s="51" t="s">
        <v>306</v>
      </c>
      <c r="I97" s="79" t="s">
        <v>265</v>
      </c>
    </row>
    <row r="98" spans="1:9" x14ac:dyDescent="0.25">
      <c r="A98" s="79" t="s">
        <v>348</v>
      </c>
      <c r="B98" s="21" t="s">
        <v>989</v>
      </c>
      <c r="C98" s="21" t="s">
        <v>959</v>
      </c>
      <c r="D98" s="21">
        <v>1</v>
      </c>
      <c r="E98" s="21" t="s">
        <v>943</v>
      </c>
      <c r="F98" s="21">
        <v>63</v>
      </c>
      <c r="G98" s="129">
        <v>44781</v>
      </c>
      <c r="H98" s="51" t="s">
        <v>306</v>
      </c>
      <c r="I98" s="79" t="s">
        <v>265</v>
      </c>
    </row>
    <row r="99" spans="1:9" x14ac:dyDescent="0.25">
      <c r="A99" s="79" t="s">
        <v>348</v>
      </c>
      <c r="B99" s="21" t="s">
        <v>989</v>
      </c>
      <c r="C99" s="21" t="s">
        <v>960</v>
      </c>
      <c r="D99" s="21">
        <v>1</v>
      </c>
      <c r="E99" s="21" t="s">
        <v>943</v>
      </c>
      <c r="F99" s="21">
        <v>63</v>
      </c>
      <c r="G99" s="129">
        <v>44781</v>
      </c>
      <c r="H99" s="51" t="s">
        <v>306</v>
      </c>
      <c r="I99" s="79" t="s">
        <v>265</v>
      </c>
    </row>
    <row r="100" spans="1:9" x14ac:dyDescent="0.25">
      <c r="A100" s="79" t="s">
        <v>348</v>
      </c>
      <c r="B100" s="21" t="s">
        <v>989</v>
      </c>
      <c r="C100" s="21" t="s">
        <v>961</v>
      </c>
      <c r="D100" s="21">
        <v>1</v>
      </c>
      <c r="E100" s="21" t="s">
        <v>943</v>
      </c>
      <c r="F100" s="21">
        <v>63</v>
      </c>
      <c r="G100" s="129">
        <v>44781</v>
      </c>
      <c r="H100" s="51" t="s">
        <v>306</v>
      </c>
      <c r="I100" s="79" t="s">
        <v>265</v>
      </c>
    </row>
    <row r="101" spans="1:9" x14ac:dyDescent="0.25">
      <c r="G101" s="21"/>
    </row>
    <row r="102" spans="1:9" x14ac:dyDescent="0.25">
      <c r="G102" s="21"/>
    </row>
    <row r="103" spans="1:9" x14ac:dyDescent="0.25">
      <c r="G103" s="21"/>
    </row>
    <row r="104" spans="1:9" x14ac:dyDescent="0.25">
      <c r="G104" s="21"/>
    </row>
    <row r="105" spans="1:9" x14ac:dyDescent="0.25">
      <c r="G105" s="21"/>
    </row>
    <row r="106" spans="1:9" x14ac:dyDescent="0.25">
      <c r="G106" s="21"/>
    </row>
    <row r="107" spans="1:9" x14ac:dyDescent="0.25">
      <c r="G107" s="21"/>
    </row>
    <row r="108" spans="1:9" x14ac:dyDescent="0.25">
      <c r="G108" s="21"/>
    </row>
    <row r="109" spans="1:9" x14ac:dyDescent="0.25">
      <c r="G109" s="21"/>
    </row>
    <row r="110" spans="1:9" x14ac:dyDescent="0.25">
      <c r="G110" s="21"/>
    </row>
    <row r="111" spans="1:9" x14ac:dyDescent="0.25">
      <c r="G111" s="21"/>
    </row>
    <row r="112" spans="1:9" x14ac:dyDescent="0.25">
      <c r="G112" s="21"/>
    </row>
    <row r="113" spans="7:7" x14ac:dyDescent="0.25">
      <c r="G113" s="21"/>
    </row>
    <row r="114" spans="7:7" x14ac:dyDescent="0.25">
      <c r="G114" s="21"/>
    </row>
    <row r="115" spans="7:7" x14ac:dyDescent="0.25">
      <c r="G115" s="21"/>
    </row>
    <row r="116" spans="7:7" x14ac:dyDescent="0.25">
      <c r="G116" s="21"/>
    </row>
    <row r="117" spans="7:7" x14ac:dyDescent="0.25">
      <c r="G117" s="21"/>
    </row>
    <row r="118" spans="7:7" x14ac:dyDescent="0.25">
      <c r="G118" s="21"/>
    </row>
    <row r="119" spans="7:7" x14ac:dyDescent="0.25">
      <c r="G119" s="21"/>
    </row>
    <row r="120" spans="7:7" x14ac:dyDescent="0.25">
      <c r="G120" s="21"/>
    </row>
    <row r="121" spans="7:7" x14ac:dyDescent="0.25">
      <c r="G121" s="21"/>
    </row>
    <row r="122" spans="7:7" x14ac:dyDescent="0.25">
      <c r="G122" s="21"/>
    </row>
    <row r="123" spans="7:7" x14ac:dyDescent="0.25">
      <c r="G123" s="21"/>
    </row>
    <row r="124" spans="7:7" x14ac:dyDescent="0.25">
      <c r="G124" s="21"/>
    </row>
    <row r="125" spans="7:7" x14ac:dyDescent="0.25">
      <c r="G125" s="21"/>
    </row>
    <row r="126" spans="7:7" x14ac:dyDescent="0.25">
      <c r="G126" s="21"/>
    </row>
    <row r="127" spans="7:7" x14ac:dyDescent="0.25">
      <c r="G127" s="21"/>
    </row>
    <row r="128" spans="7:7" x14ac:dyDescent="0.25">
      <c r="G128" s="21"/>
    </row>
    <row r="129" spans="7:7" x14ac:dyDescent="0.25">
      <c r="G129" s="21"/>
    </row>
    <row r="130" spans="7:7" x14ac:dyDescent="0.25">
      <c r="G130" s="21"/>
    </row>
    <row r="131" spans="7:7" x14ac:dyDescent="0.25">
      <c r="G131" s="21"/>
    </row>
    <row r="132" spans="7:7" x14ac:dyDescent="0.25">
      <c r="G132" s="21"/>
    </row>
    <row r="133" spans="7:7" x14ac:dyDescent="0.25">
      <c r="G133" s="21"/>
    </row>
    <row r="134" spans="7:7" x14ac:dyDescent="0.25">
      <c r="G134" s="21"/>
    </row>
    <row r="135" spans="7:7" x14ac:dyDescent="0.25">
      <c r="G135" s="21"/>
    </row>
    <row r="136" spans="7:7" x14ac:dyDescent="0.25">
      <c r="G136" s="21"/>
    </row>
    <row r="137" spans="7:7" x14ac:dyDescent="0.25">
      <c r="G137" s="21"/>
    </row>
    <row r="138" spans="7:7" x14ac:dyDescent="0.25">
      <c r="G138" s="21"/>
    </row>
    <row r="139" spans="7:7" x14ac:dyDescent="0.25">
      <c r="G139" s="21"/>
    </row>
    <row r="140" spans="7:7" x14ac:dyDescent="0.25">
      <c r="G140" s="21"/>
    </row>
    <row r="141" spans="7:7" x14ac:dyDescent="0.25">
      <c r="G141" s="21"/>
    </row>
    <row r="142" spans="7:7" x14ac:dyDescent="0.25">
      <c r="G142" s="21"/>
    </row>
    <row r="143" spans="7:7" x14ac:dyDescent="0.25">
      <c r="G143" s="21"/>
    </row>
    <row r="144" spans="7:7" x14ac:dyDescent="0.25">
      <c r="G144" s="21"/>
    </row>
    <row r="145" spans="7:7" x14ac:dyDescent="0.25">
      <c r="G145" s="21"/>
    </row>
    <row r="146" spans="7:7" x14ac:dyDescent="0.25">
      <c r="G146" s="21"/>
    </row>
    <row r="147" spans="7:7" x14ac:dyDescent="0.25">
      <c r="G147" s="21"/>
    </row>
    <row r="148" spans="7:7" x14ac:dyDescent="0.25">
      <c r="G148" s="21"/>
    </row>
    <row r="149" spans="7:7" x14ac:dyDescent="0.25">
      <c r="G149" s="21"/>
    </row>
    <row r="150" spans="7:7" x14ac:dyDescent="0.25">
      <c r="G150" s="21"/>
    </row>
    <row r="151" spans="7:7" x14ac:dyDescent="0.25">
      <c r="G151" s="21"/>
    </row>
    <row r="152" spans="7:7" x14ac:dyDescent="0.25">
      <c r="G152" s="21"/>
    </row>
    <row r="153" spans="7:7" x14ac:dyDescent="0.25">
      <c r="G153" s="21"/>
    </row>
    <row r="154" spans="7:7" x14ac:dyDescent="0.25">
      <c r="G154" s="21"/>
    </row>
    <row r="155" spans="7:7" x14ac:dyDescent="0.25">
      <c r="G155" s="21"/>
    </row>
    <row r="156" spans="7:7" x14ac:dyDescent="0.25">
      <c r="G156" s="21"/>
    </row>
    <row r="157" spans="7:7" x14ac:dyDescent="0.25">
      <c r="G157" s="21"/>
    </row>
    <row r="158" spans="7:7" x14ac:dyDescent="0.25">
      <c r="G158" s="21"/>
    </row>
    <row r="159" spans="7:7" x14ac:dyDescent="0.25">
      <c r="G159" s="21"/>
    </row>
    <row r="160" spans="7:7" x14ac:dyDescent="0.25">
      <c r="G160" s="21"/>
    </row>
    <row r="161" spans="7:7" x14ac:dyDescent="0.25">
      <c r="G161" s="21"/>
    </row>
    <row r="162" spans="7:7" x14ac:dyDescent="0.25">
      <c r="G162" s="21"/>
    </row>
    <row r="163" spans="7:7" x14ac:dyDescent="0.25">
      <c r="G163" s="21"/>
    </row>
    <row r="164" spans="7:7" x14ac:dyDescent="0.25">
      <c r="G164" s="21"/>
    </row>
    <row r="165" spans="7:7" x14ac:dyDescent="0.25">
      <c r="G165" s="21"/>
    </row>
    <row r="166" spans="7:7" x14ac:dyDescent="0.25">
      <c r="G166" s="21"/>
    </row>
    <row r="167" spans="7:7" x14ac:dyDescent="0.25">
      <c r="G167" s="21"/>
    </row>
    <row r="168" spans="7:7" x14ac:dyDescent="0.25">
      <c r="G168" s="21"/>
    </row>
    <row r="169" spans="7:7" x14ac:dyDescent="0.25">
      <c r="G169" s="21"/>
    </row>
    <row r="170" spans="7:7" x14ac:dyDescent="0.25">
      <c r="G170" s="21"/>
    </row>
    <row r="171" spans="7:7" x14ac:dyDescent="0.25">
      <c r="G171" s="21"/>
    </row>
    <row r="172" spans="7:7" x14ac:dyDescent="0.25">
      <c r="G172" s="21"/>
    </row>
    <row r="173" spans="7:7" x14ac:dyDescent="0.25">
      <c r="G173" s="21"/>
    </row>
    <row r="174" spans="7:7" x14ac:dyDescent="0.25">
      <c r="G174" s="21"/>
    </row>
    <row r="175" spans="7:7" x14ac:dyDescent="0.25">
      <c r="G175" s="21"/>
    </row>
    <row r="176" spans="7:7" x14ac:dyDescent="0.25">
      <c r="G176" s="21"/>
    </row>
    <row r="177" spans="7:7" x14ac:dyDescent="0.25">
      <c r="G177" s="21"/>
    </row>
    <row r="178" spans="7:7" x14ac:dyDescent="0.25">
      <c r="G178" s="21"/>
    </row>
    <row r="179" spans="7:7" x14ac:dyDescent="0.25">
      <c r="G179" s="21"/>
    </row>
    <row r="180" spans="7:7" x14ac:dyDescent="0.25">
      <c r="G180" s="21"/>
    </row>
    <row r="181" spans="7:7" x14ac:dyDescent="0.25">
      <c r="G181" s="21"/>
    </row>
    <row r="182" spans="7:7" x14ac:dyDescent="0.25">
      <c r="G182" s="21"/>
    </row>
    <row r="183" spans="7:7" x14ac:dyDescent="0.25">
      <c r="G183" s="21"/>
    </row>
    <row r="184" spans="7:7" x14ac:dyDescent="0.25">
      <c r="G184" s="21"/>
    </row>
    <row r="185" spans="7:7" x14ac:dyDescent="0.25">
      <c r="G185" s="21"/>
    </row>
    <row r="186" spans="7:7" x14ac:dyDescent="0.25">
      <c r="G186" s="21"/>
    </row>
    <row r="187" spans="7:7" x14ac:dyDescent="0.25">
      <c r="G187" s="21"/>
    </row>
    <row r="188" spans="7:7" x14ac:dyDescent="0.25">
      <c r="G188" s="21"/>
    </row>
    <row r="189" spans="7:7" x14ac:dyDescent="0.25">
      <c r="G189" s="21"/>
    </row>
    <row r="190" spans="7:7" x14ac:dyDescent="0.25">
      <c r="G190" s="21"/>
    </row>
    <row r="191" spans="7:7" x14ac:dyDescent="0.25">
      <c r="G191" s="21"/>
    </row>
    <row r="192" spans="7:7" x14ac:dyDescent="0.25">
      <c r="G192" s="21"/>
    </row>
    <row r="193" spans="7:7" x14ac:dyDescent="0.25">
      <c r="G193" s="21"/>
    </row>
    <row r="194" spans="7:7" x14ac:dyDescent="0.25">
      <c r="G194" s="21"/>
    </row>
    <row r="195" spans="7:7" x14ac:dyDescent="0.25">
      <c r="G195" s="21"/>
    </row>
    <row r="196" spans="7:7" x14ac:dyDescent="0.25">
      <c r="G196" s="21"/>
    </row>
    <row r="197" spans="7:7" x14ac:dyDescent="0.25">
      <c r="G197" s="21"/>
    </row>
    <row r="198" spans="7:7" x14ac:dyDescent="0.25">
      <c r="G198" s="21"/>
    </row>
    <row r="199" spans="7:7" x14ac:dyDescent="0.25">
      <c r="G199" s="21"/>
    </row>
    <row r="200" spans="7:7" x14ac:dyDescent="0.25">
      <c r="G200" s="21"/>
    </row>
    <row r="201" spans="7:7" x14ac:dyDescent="0.25">
      <c r="G201" s="21"/>
    </row>
    <row r="202" spans="7:7" x14ac:dyDescent="0.25">
      <c r="G202" s="21"/>
    </row>
    <row r="203" spans="7:7" x14ac:dyDescent="0.25">
      <c r="G203" s="21"/>
    </row>
    <row r="204" spans="7:7" x14ac:dyDescent="0.25">
      <c r="G204" s="21"/>
    </row>
    <row r="205" spans="7:7" x14ac:dyDescent="0.25">
      <c r="G205" s="21"/>
    </row>
    <row r="206" spans="7:7" x14ac:dyDescent="0.25">
      <c r="G206" s="21"/>
    </row>
    <row r="207" spans="7:7" x14ac:dyDescent="0.25">
      <c r="G207" s="21"/>
    </row>
    <row r="208" spans="7:7" x14ac:dyDescent="0.25">
      <c r="G208" s="21"/>
    </row>
    <row r="209" spans="7:7" x14ac:dyDescent="0.25">
      <c r="G209" s="21"/>
    </row>
    <row r="210" spans="7:7" x14ac:dyDescent="0.25">
      <c r="G210" s="21"/>
    </row>
    <row r="211" spans="7:7" x14ac:dyDescent="0.25">
      <c r="G211" s="21"/>
    </row>
    <row r="212" spans="7:7" x14ac:dyDescent="0.25">
      <c r="G212" s="21"/>
    </row>
    <row r="213" spans="7:7" x14ac:dyDescent="0.25">
      <c r="G213" s="21"/>
    </row>
    <row r="214" spans="7:7" x14ac:dyDescent="0.25">
      <c r="G214" s="21"/>
    </row>
    <row r="215" spans="7:7" x14ac:dyDescent="0.25">
      <c r="G215" s="21"/>
    </row>
    <row r="216" spans="7:7" x14ac:dyDescent="0.25">
      <c r="G216" s="21"/>
    </row>
    <row r="217" spans="7:7" x14ac:dyDescent="0.25">
      <c r="G217" s="21"/>
    </row>
    <row r="218" spans="7:7" x14ac:dyDescent="0.25">
      <c r="G218" s="21"/>
    </row>
    <row r="219" spans="7:7" x14ac:dyDescent="0.25">
      <c r="G219" s="21"/>
    </row>
    <row r="220" spans="7:7" x14ac:dyDescent="0.25">
      <c r="G220" s="21"/>
    </row>
    <row r="221" spans="7:7" x14ac:dyDescent="0.25">
      <c r="G221" s="21"/>
    </row>
    <row r="222" spans="7:7" x14ac:dyDescent="0.25">
      <c r="G222" s="21"/>
    </row>
    <row r="223" spans="7:7" x14ac:dyDescent="0.25">
      <c r="G223" s="21"/>
    </row>
    <row r="224" spans="7:7" x14ac:dyDescent="0.25">
      <c r="G224" s="21"/>
    </row>
    <row r="225" spans="7:7" x14ac:dyDescent="0.25">
      <c r="G225" s="21"/>
    </row>
    <row r="226" spans="7:7" x14ac:dyDescent="0.25">
      <c r="G226" s="21"/>
    </row>
    <row r="227" spans="7:7" x14ac:dyDescent="0.25">
      <c r="G227" s="21"/>
    </row>
    <row r="228" spans="7:7" x14ac:dyDescent="0.25">
      <c r="G228" s="21"/>
    </row>
    <row r="229" spans="7:7" x14ac:dyDescent="0.25">
      <c r="G229" s="21"/>
    </row>
    <row r="230" spans="7:7" x14ac:dyDescent="0.25">
      <c r="G230" s="21"/>
    </row>
    <row r="231" spans="7:7" x14ac:dyDescent="0.25">
      <c r="G231" s="21"/>
    </row>
    <row r="232" spans="7:7" x14ac:dyDescent="0.25">
      <c r="G232" s="21"/>
    </row>
    <row r="233" spans="7:7" x14ac:dyDescent="0.25">
      <c r="G233" s="21"/>
    </row>
    <row r="234" spans="7:7" x14ac:dyDescent="0.25">
      <c r="G234" s="21"/>
    </row>
    <row r="235" spans="7:7" x14ac:dyDescent="0.25">
      <c r="G235" s="21"/>
    </row>
    <row r="236" spans="7:7" x14ac:dyDescent="0.25">
      <c r="G236" s="21"/>
    </row>
    <row r="237" spans="7:7" x14ac:dyDescent="0.25">
      <c r="G237" s="21"/>
    </row>
    <row r="238" spans="7:7" x14ac:dyDescent="0.25">
      <c r="G238" s="21"/>
    </row>
    <row r="239" spans="7:7" x14ac:dyDescent="0.25">
      <c r="G239" s="21"/>
    </row>
    <row r="240" spans="7:7" x14ac:dyDescent="0.25">
      <c r="G240" s="21"/>
    </row>
    <row r="241" spans="7:7" x14ac:dyDescent="0.25">
      <c r="G241" s="21"/>
    </row>
    <row r="242" spans="7:7" x14ac:dyDescent="0.25">
      <c r="G242" s="21"/>
    </row>
    <row r="243" spans="7:7" x14ac:dyDescent="0.25">
      <c r="G243" s="21"/>
    </row>
    <row r="244" spans="7:7" x14ac:dyDescent="0.25">
      <c r="G244" s="21"/>
    </row>
    <row r="245" spans="7:7" x14ac:dyDescent="0.25">
      <c r="G245" s="21"/>
    </row>
    <row r="246" spans="7:7" x14ac:dyDescent="0.25">
      <c r="G246" s="21"/>
    </row>
    <row r="247" spans="7:7" x14ac:dyDescent="0.25">
      <c r="G247" s="21"/>
    </row>
    <row r="248" spans="7:7" x14ac:dyDescent="0.25">
      <c r="G248" s="21"/>
    </row>
    <row r="249" spans="7:7" x14ac:dyDescent="0.25">
      <c r="G249" s="21"/>
    </row>
    <row r="250" spans="7:7" x14ac:dyDescent="0.25">
      <c r="G250" s="21"/>
    </row>
    <row r="251" spans="7:7" x14ac:dyDescent="0.25">
      <c r="G251" s="21"/>
    </row>
    <row r="252" spans="7:7" x14ac:dyDescent="0.25">
      <c r="G252" s="21"/>
    </row>
    <row r="253" spans="7:7" x14ac:dyDescent="0.25">
      <c r="G253" s="21"/>
    </row>
    <row r="254" spans="7:7" x14ac:dyDescent="0.25">
      <c r="G254" s="21"/>
    </row>
    <row r="255" spans="7:7" x14ac:dyDescent="0.25">
      <c r="G255" s="21"/>
    </row>
    <row r="256" spans="7:7" x14ac:dyDescent="0.25">
      <c r="G256" s="21"/>
    </row>
    <row r="257" spans="7:7" x14ac:dyDescent="0.25">
      <c r="G257" s="21"/>
    </row>
    <row r="258" spans="7:7" x14ac:dyDescent="0.25">
      <c r="G258" s="21"/>
    </row>
    <row r="259" spans="7:7" x14ac:dyDescent="0.25">
      <c r="G259" s="21"/>
    </row>
    <row r="260" spans="7:7" x14ac:dyDescent="0.25">
      <c r="G260" s="21"/>
    </row>
    <row r="261" spans="7:7" x14ac:dyDescent="0.25">
      <c r="G261" s="21"/>
    </row>
    <row r="262" spans="7:7" x14ac:dyDescent="0.25">
      <c r="G262" s="21"/>
    </row>
    <row r="263" spans="7:7" x14ac:dyDescent="0.25">
      <c r="G263" s="21"/>
    </row>
    <row r="264" spans="7:7" x14ac:dyDescent="0.25">
      <c r="G264" s="21"/>
    </row>
    <row r="265" spans="7:7" x14ac:dyDescent="0.25">
      <c r="G265" s="21"/>
    </row>
    <row r="266" spans="7:7" x14ac:dyDescent="0.25">
      <c r="G266" s="21"/>
    </row>
    <row r="267" spans="7:7" x14ac:dyDescent="0.25">
      <c r="G267" s="21"/>
    </row>
    <row r="268" spans="7:7" x14ac:dyDescent="0.25">
      <c r="G268" s="21"/>
    </row>
    <row r="269" spans="7:7" x14ac:dyDescent="0.25">
      <c r="G269" s="21"/>
    </row>
    <row r="270" spans="7:7" x14ac:dyDescent="0.25">
      <c r="G270" s="21"/>
    </row>
    <row r="271" spans="7:7" x14ac:dyDescent="0.25">
      <c r="G271" s="21"/>
    </row>
    <row r="272" spans="7:7" x14ac:dyDescent="0.25">
      <c r="G272" s="21"/>
    </row>
    <row r="273" spans="7:7" x14ac:dyDescent="0.25">
      <c r="G273" s="21"/>
    </row>
    <row r="274" spans="7:7" x14ac:dyDescent="0.25">
      <c r="G274" s="21"/>
    </row>
    <row r="275" spans="7:7" x14ac:dyDescent="0.25">
      <c r="G275" s="21"/>
    </row>
    <row r="276" spans="7:7" x14ac:dyDescent="0.25">
      <c r="G276" s="21"/>
    </row>
    <row r="277" spans="7:7" x14ac:dyDescent="0.25">
      <c r="G277" s="21"/>
    </row>
    <row r="278" spans="7:7" x14ac:dyDescent="0.25">
      <c r="G278" s="21"/>
    </row>
    <row r="279" spans="7:7" x14ac:dyDescent="0.25">
      <c r="G279" s="21"/>
    </row>
    <row r="280" spans="7:7" x14ac:dyDescent="0.25">
      <c r="G280" s="21"/>
    </row>
    <row r="281" spans="7:7" x14ac:dyDescent="0.25">
      <c r="G281" s="21"/>
    </row>
    <row r="282" spans="7:7" x14ac:dyDescent="0.25">
      <c r="G282" s="21"/>
    </row>
    <row r="283" spans="7:7" x14ac:dyDescent="0.25">
      <c r="G283" s="21"/>
    </row>
    <row r="284" spans="7:7" x14ac:dyDescent="0.25">
      <c r="G284" s="21"/>
    </row>
    <row r="285" spans="7:7" x14ac:dyDescent="0.25">
      <c r="G285" s="21"/>
    </row>
    <row r="286" spans="7:7" x14ac:dyDescent="0.25">
      <c r="G286" s="21"/>
    </row>
    <row r="287" spans="7:7" x14ac:dyDescent="0.25">
      <c r="G287" s="21"/>
    </row>
    <row r="288" spans="7:7" x14ac:dyDescent="0.25">
      <c r="G288" s="21"/>
    </row>
    <row r="289" spans="7:7" x14ac:dyDescent="0.25">
      <c r="G289" s="21"/>
    </row>
    <row r="290" spans="7:7" x14ac:dyDescent="0.25">
      <c r="G290" s="21"/>
    </row>
    <row r="291" spans="7:7" x14ac:dyDescent="0.25">
      <c r="G291" s="21"/>
    </row>
    <row r="292" spans="7:7" x14ac:dyDescent="0.25">
      <c r="G292" s="21"/>
    </row>
    <row r="293" spans="7:7" x14ac:dyDescent="0.25">
      <c r="G293" s="21"/>
    </row>
    <row r="294" spans="7:7" x14ac:dyDescent="0.25">
      <c r="G294" s="21"/>
    </row>
    <row r="295" spans="7:7" x14ac:dyDescent="0.25">
      <c r="G295" s="21"/>
    </row>
    <row r="296" spans="7:7" x14ac:dyDescent="0.25">
      <c r="G296" s="21"/>
    </row>
    <row r="297" spans="7:7" x14ac:dyDescent="0.25">
      <c r="G297" s="21"/>
    </row>
    <row r="298" spans="7:7" x14ac:dyDescent="0.25">
      <c r="G298" s="21"/>
    </row>
    <row r="299" spans="7:7" x14ac:dyDescent="0.25">
      <c r="G299" s="21"/>
    </row>
    <row r="300" spans="7:7" x14ac:dyDescent="0.25">
      <c r="G300" s="21"/>
    </row>
    <row r="301" spans="7:7" x14ac:dyDescent="0.25">
      <c r="G301" s="21"/>
    </row>
    <row r="302" spans="7:7" x14ac:dyDescent="0.25">
      <c r="G302" s="21"/>
    </row>
    <row r="303" spans="7:7" x14ac:dyDescent="0.25">
      <c r="G303" s="21"/>
    </row>
    <row r="304" spans="7:7" x14ac:dyDescent="0.25">
      <c r="G304" s="21"/>
    </row>
    <row r="305" spans="7:7" x14ac:dyDescent="0.25">
      <c r="G305" s="21"/>
    </row>
    <row r="306" spans="7:7" x14ac:dyDescent="0.25">
      <c r="G306" s="21"/>
    </row>
    <row r="307" spans="7:7" x14ac:dyDescent="0.25">
      <c r="G307" s="21"/>
    </row>
    <row r="308" spans="7:7" x14ac:dyDescent="0.25">
      <c r="G308" s="21"/>
    </row>
    <row r="309" spans="7:7" x14ac:dyDescent="0.25">
      <c r="G309" s="21"/>
    </row>
    <row r="310" spans="7:7" x14ac:dyDescent="0.25">
      <c r="G310" s="21"/>
    </row>
    <row r="311" spans="7:7" x14ac:dyDescent="0.25">
      <c r="G311" s="21"/>
    </row>
    <row r="312" spans="7:7" x14ac:dyDescent="0.25">
      <c r="G312" s="21"/>
    </row>
    <row r="313" spans="7:7" x14ac:dyDescent="0.25">
      <c r="G313" s="21"/>
    </row>
    <row r="314" spans="7:7" x14ac:dyDescent="0.25">
      <c r="G314" s="21"/>
    </row>
    <row r="315" spans="7:7" x14ac:dyDescent="0.25">
      <c r="G315" s="21"/>
    </row>
    <row r="316" spans="7:7" x14ac:dyDescent="0.25">
      <c r="G316" s="21"/>
    </row>
    <row r="317" spans="7:7" x14ac:dyDescent="0.25">
      <c r="G317" s="21"/>
    </row>
    <row r="318" spans="7:7" x14ac:dyDescent="0.25">
      <c r="G318" s="21"/>
    </row>
    <row r="319" spans="7:7" x14ac:dyDescent="0.25">
      <c r="G319" s="21"/>
    </row>
    <row r="320" spans="7:7" x14ac:dyDescent="0.25">
      <c r="G320" s="21"/>
    </row>
    <row r="321" spans="7:7" x14ac:dyDescent="0.25">
      <c r="G321" s="21"/>
    </row>
    <row r="322" spans="7:7" x14ac:dyDescent="0.25">
      <c r="G322" s="21"/>
    </row>
    <row r="323" spans="7:7" x14ac:dyDescent="0.25">
      <c r="G323" s="21"/>
    </row>
    <row r="324" spans="7:7" x14ac:dyDescent="0.25">
      <c r="G324" s="21"/>
    </row>
    <row r="325" spans="7:7" x14ac:dyDescent="0.25">
      <c r="G325" s="21"/>
    </row>
    <row r="326" spans="7:7" x14ac:dyDescent="0.25">
      <c r="G326" s="21"/>
    </row>
  </sheetData>
  <autoFilter ref="A1:D100" xr:uid="{00000000-0001-0000-0B00-000000000000}"/>
  <sortState xmlns:xlrd2="http://schemas.microsoft.com/office/spreadsheetml/2017/richdata2" ref="A2:I100">
    <sortCondition ref="G1:G100"/>
  </sortState>
  <phoneticPr fontId="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819A6-805E-44C3-846F-66A6E6627682}">
  <sheetPr codeName="工作表15"/>
  <dimension ref="A1:CV136"/>
  <sheetViews>
    <sheetView workbookViewId="0">
      <selection activeCell="G52" sqref="G52"/>
    </sheetView>
  </sheetViews>
  <sheetFormatPr defaultColWidth="8.88671875" defaultRowHeight="13.2" x14ac:dyDescent="0.25"/>
  <cols>
    <col min="1" max="1" width="27.44140625" style="3" customWidth="1"/>
    <col min="2" max="2" width="12.5546875" style="3" bestFit="1" customWidth="1"/>
    <col min="3" max="4" width="11.6640625" style="3" bestFit="1" customWidth="1"/>
    <col min="5" max="5" width="12" style="3" customWidth="1"/>
    <col min="6" max="6" width="11.6640625" style="3" customWidth="1"/>
    <col min="7" max="7" width="15.21875" style="3" bestFit="1" customWidth="1"/>
    <col min="8" max="19" width="8.88671875" style="3"/>
    <col min="20" max="20" width="8.88671875" style="3" customWidth="1"/>
    <col min="21" max="22" width="18.88671875" style="3" customWidth="1"/>
    <col min="23" max="16384" width="8.88671875" style="3"/>
  </cols>
  <sheetData>
    <row r="1" spans="1:7" ht="13.8" x14ac:dyDescent="0.25">
      <c r="A1" s="82" t="s">
        <v>752</v>
      </c>
      <c r="B1" s="83" t="s">
        <v>764</v>
      </c>
      <c r="C1" s="84" t="s">
        <v>765</v>
      </c>
      <c r="D1" s="85" t="s">
        <v>766</v>
      </c>
      <c r="E1" s="104" t="s">
        <v>767</v>
      </c>
      <c r="F1" s="104" t="s">
        <v>866</v>
      </c>
      <c r="G1" s="104" t="s">
        <v>768</v>
      </c>
    </row>
    <row r="2" spans="1:7" ht="13.8" x14ac:dyDescent="0.25">
      <c r="A2" s="86" t="s">
        <v>769</v>
      </c>
      <c r="B2" s="87">
        <f>SUMPRODUCT((MONTH(日報表A!A2:A8)=1)*(日報表A!M2:M8="")*(日報表A!N2:N8="蝦皮"))</f>
        <v>0</v>
      </c>
      <c r="C2" s="87">
        <f>SUMPRODUCT((MONTH(日報表A!A2:A8)=1)*(日報表A!M2:M8="")*(日報表A!N2:N8="露天"))</f>
        <v>0</v>
      </c>
      <c r="D2" s="87">
        <f>SUMPRODUCT((MONTH(日報表A!A2:A8)=1)*(日報表A!M2:M8="")*(日報表A!N2:N8="Y拍"))</f>
        <v>0</v>
      </c>
      <c r="E2" s="92">
        <f>SUMPRODUCT((MONTH(日報表A!A2:A8)=1)*1,日報表A!D2:D8)-SUMPRODUCT((MONTH(日報表A!A2:A8)=1)*1,日報表A!E2:E8)-SUMPRODUCT((MONTH(日報表A!A2:A8)=1)*1,日報表A!F2:F8)</f>
        <v>0</v>
      </c>
      <c r="F2" s="103">
        <f>ROUND(SUMPRODUCT((MONTH(日報表A!A2:A8)=1)*1,日報表A!L2:L8)-月報表A!H2-月報表A!J2,0)</f>
        <v>0</v>
      </c>
      <c r="G2" s="3">
        <v>18</v>
      </c>
    </row>
    <row r="3" spans="1:7" ht="13.8" x14ac:dyDescent="0.25">
      <c r="A3" s="86" t="s">
        <v>753</v>
      </c>
      <c r="B3" s="87">
        <f>SUMPRODUCT((MONTH(日報表A!A2:A8)=2)*(日報表A!M2:M8="")*(日報表A!N2:N8="蝦皮"))</f>
        <v>0</v>
      </c>
      <c r="C3" s="87">
        <f>SUMPRODUCT((MONTH(日報表A!A2:A8)=2)*(日報表A!M2:M8="")*(日報表A!N2:N8="露天"))</f>
        <v>0</v>
      </c>
      <c r="D3" s="87">
        <f>SUMPRODUCT((MONTH(日報表A!A2:A8)=2)*(日報表A!M2:M8="")*(日報表A!N2:N8="Y拍"))</f>
        <v>0</v>
      </c>
      <c r="E3" s="92">
        <f>SUMPRODUCT((MONTH(日報表A!A2:A8)=2)*1,日報表A!D2:D8)-SUMPRODUCT((MONTH(日報表A!A2:A8)=2)*1,日報表A!E2:E8)-SUMPRODUCT((MONTH(日報表A!A2:A8)=2)*1,日報表A!F2:F8)</f>
        <v>0</v>
      </c>
      <c r="F3" s="103">
        <f>ROUND(SUMPRODUCT((MONTH(日報表A!A2:A8)=2)*1,日報表A!L2:L8)-月報表A!H3-月報表A!J3,0)</f>
        <v>0</v>
      </c>
      <c r="G3" s="3">
        <v>18</v>
      </c>
    </row>
    <row r="4" spans="1:7" ht="13.8" x14ac:dyDescent="0.25">
      <c r="A4" s="86" t="s">
        <v>754</v>
      </c>
      <c r="B4" s="87">
        <f>SUMPRODUCT((MONTH(日報表A!A2:A8)=3)*(日報表A!M2:M8="")*(日報表A!N2:N8="蝦皮"))</f>
        <v>0</v>
      </c>
      <c r="C4" s="87">
        <f>SUMPRODUCT((MONTH(日報表A!A2:A8)=3)*(日報表A!M2:M8="")*(日報表A!N2:N8="露天"))</f>
        <v>0</v>
      </c>
      <c r="D4" s="87">
        <f>SUMPRODUCT((MONTH(日報表A!A2:A8)=3)*(日報表A!M2:M8="")*(日報表A!N2:N8="Y拍"))</f>
        <v>0</v>
      </c>
      <c r="E4" s="92">
        <f>SUMPRODUCT((MONTH(日報表A!A2:A8)=3)*1,日報表A!D2:D8)-SUMPRODUCT((MONTH(日報表A!A2:A8)=3)*1,日報表A!E2:E8)-SUMPRODUCT((MONTH(日報表A!A2:A8)=3)*1,日報表A!F2:F8)</f>
        <v>0</v>
      </c>
      <c r="F4" s="103">
        <f>ROUND(SUMPRODUCT((MONTH(日報表A!A2:A8)=3)*1,日報表A!L2:L8)-月報表A!H4-月報表A!J4,0)</f>
        <v>0</v>
      </c>
      <c r="G4" s="3">
        <v>18</v>
      </c>
    </row>
    <row r="5" spans="1:7" ht="13.8" x14ac:dyDescent="0.25">
      <c r="A5" s="86" t="s">
        <v>755</v>
      </c>
      <c r="B5" s="87">
        <f>SUMPRODUCT((MONTH(日報表A!A2:A8)=4)*(日報表A!M2:M8="")*(日報表A!N2:N8="蝦皮"))</f>
        <v>0</v>
      </c>
      <c r="C5" s="87">
        <f>SUMPRODUCT((MONTH(日報表A!A2:A8)=4)*(日報表A!M2:M8="")*(日報表A!N2:N8="露天"))</f>
        <v>0</v>
      </c>
      <c r="D5" s="87">
        <f>SUMPRODUCT((MONTH(日報表A!A2:A8)=4)*(日報表A!M2:M8="")*(日報表A!N2:N8="Y拍"))</f>
        <v>0</v>
      </c>
      <c r="E5" s="92">
        <f>SUMPRODUCT((MONTH(日報表A!A2:A8)=4)*1,日報表A!D2:D8)-SUMPRODUCT((MONTH(日報表A!A2:A8)=4)*1,日報表A!E2:E8)-SUMPRODUCT((MONTH(日報表A!A2:A8)=4)*1,日報表A!F2:F8)</f>
        <v>0</v>
      </c>
      <c r="F5" s="103">
        <f>ROUND(SUMPRODUCT((MONTH(日報表A!A2:A8)=4)*1,日報表A!L2:L8)-月報表A!H5-月報表A!J5,0)</f>
        <v>0</v>
      </c>
      <c r="G5" s="3">
        <v>18</v>
      </c>
    </row>
    <row r="6" spans="1:7" ht="13.8" x14ac:dyDescent="0.25">
      <c r="A6" s="86" t="s">
        <v>756</v>
      </c>
      <c r="B6" s="87">
        <f>SUMPRODUCT((MONTH(日報表A!A2:A8)=5)*(日報表A!M2:M8="")*(日報表A!N2:N8="蝦皮"))</f>
        <v>0</v>
      </c>
      <c r="C6" s="87">
        <f>SUMPRODUCT((MONTH(日報表A!A2:A8)=5)*(日報表A!M2:M8="")*(日報表A!N2:N8="露天"))</f>
        <v>0</v>
      </c>
      <c r="D6" s="87">
        <f>SUMPRODUCT((MONTH(日報表A!A2:A8)=5)*(日報表A!M2:M8="")*(日報表A!N2:N8="Y拍"))</f>
        <v>0</v>
      </c>
      <c r="E6" s="92">
        <f>SUMPRODUCT((MONTH(日報表A!A2:A8)=5)*1,日報表A!D2:D8)-SUMPRODUCT((MONTH(日報表A!A2:A8)=5)*1,日報表A!E2:E8)-SUMPRODUCT((MONTH(日報表A!A2:A8)=5)*1,日報表A!F2:F8)</f>
        <v>0</v>
      </c>
      <c r="F6" s="103">
        <f>ROUND(SUMPRODUCT((MONTH(日報表A!A2:A8)=5)*1,日報表A!L2:L8)-月報表A!H6-月報表A!J6,0)</f>
        <v>0</v>
      </c>
      <c r="G6" s="3">
        <v>18</v>
      </c>
    </row>
    <row r="7" spans="1:7" ht="13.8" x14ac:dyDescent="0.25">
      <c r="A7" s="86" t="s">
        <v>757</v>
      </c>
      <c r="B7" s="87">
        <f>SUMPRODUCT((MONTH(日報表A!A2:A8)=6)*(日報表A!M2:M8="")*(日報表A!N2:N8="蝦皮"))</f>
        <v>0</v>
      </c>
      <c r="C7" s="87">
        <f>SUMPRODUCT((MONTH(日報表A!A2:A8)=6)*(日報表A!M2:M8="")*(日報表A!N2:N8="露天"))</f>
        <v>0</v>
      </c>
      <c r="D7" s="87">
        <f>SUMPRODUCT((MONTH(日報表A!A2:A8)=6)*(日報表A!M2:M8="")*(日報表A!N2:N8="Y拍"))</f>
        <v>0</v>
      </c>
      <c r="E7" s="92">
        <f>SUMPRODUCT((MONTH(日報表A!A2:A8)=6)*1,日報表A!D2:D8)-SUMPRODUCT((MONTH(日報表A!A2:A8)=6)*1,日報表A!E2:E8)-SUMPRODUCT((MONTH(日報表A!A2:A8)=6)*1,日報表A!F2:F8)</f>
        <v>0</v>
      </c>
      <c r="F7" s="103">
        <f>ROUND(SUMPRODUCT((MONTH(日報表A!A2:A8)=6)*1,日報表A!L2:L8)-月報表A!H7-月報表A!J7,0)</f>
        <v>0</v>
      </c>
      <c r="G7" s="3">
        <v>18</v>
      </c>
    </row>
    <row r="8" spans="1:7" ht="13.8" x14ac:dyDescent="0.25">
      <c r="A8" s="86" t="s">
        <v>758</v>
      </c>
      <c r="B8" s="87">
        <f>SUMPRODUCT((MONTH(日報表A!A2:A8)=7)*(日報表A!M2:M8="")*(日報表A!N2:N8="蝦皮"))</f>
        <v>0</v>
      </c>
      <c r="C8" s="87">
        <f>SUMPRODUCT((MONTH(日報表A!A2:A8)=7)*(日報表A!M2:M8="")*(日報表A!N2:N8="露天"))</f>
        <v>0</v>
      </c>
      <c r="D8" s="87">
        <f>SUMPRODUCT((MONTH(日報表A!A2:A8)=7)*(日報表A!M2:M8="")*(日報表A!N2:N8="Y拍"))</f>
        <v>0</v>
      </c>
      <c r="E8" s="92">
        <f>SUMPRODUCT((MONTH(日報表A!A2:A8)=7)*1,日報表A!D2:D8)-SUMPRODUCT((MONTH(日報表A!A2:A8)=7)*1,日報表A!E2:E8)-SUMPRODUCT((MONTH(日報表A!A2:A8)=7)*1,日報表A!F2:F8)</f>
        <v>0</v>
      </c>
      <c r="F8" s="103">
        <f>ROUND(SUMPRODUCT((MONTH(日報表A!A2:A8)=7)*1,日報表A!L2:L8)-月報表A!H8-月報表A!J8,0)</f>
        <v>0</v>
      </c>
      <c r="G8" s="3">
        <v>18</v>
      </c>
    </row>
    <row r="9" spans="1:7" ht="13.8" x14ac:dyDescent="0.25">
      <c r="A9" s="86" t="s">
        <v>759</v>
      </c>
      <c r="B9" s="87">
        <f>SUMPRODUCT((MONTH(日報表A!A2:A8)=8)*(日報表A!M2:M8="")*(日報表A!N2:N8="蝦皮"))</f>
        <v>0</v>
      </c>
      <c r="C9" s="87">
        <f>SUMPRODUCT((MONTH(日報表A!A2:A8)=8)*(日報表A!M2:M8="")*(日報表A!N2:N8="露天"))</f>
        <v>0</v>
      </c>
      <c r="D9" s="87">
        <f>SUMPRODUCT((MONTH(日報表A!A2:A8)=8)*(日報表A!M2:M8="")*(日報表A!N2:N8="Y拍"))</f>
        <v>0</v>
      </c>
      <c r="E9" s="92">
        <f>SUMPRODUCT((MONTH(日報表A!A2:A8)=8)*1,日報表A!D2:D8)-SUMPRODUCT((MONTH(日報表A!A2:A8)=8)*1,日報表A!E2:E8)-SUMPRODUCT((MONTH(日報表A!A2:A8)=8)*1,日報表A!F2:F8)</f>
        <v>0</v>
      </c>
      <c r="F9" s="103">
        <f>ROUND(SUMPRODUCT((MONTH(日報表A!A2:A8)=8)*1,日報表A!L2:L8)-月報表A!H9-月報表A!J9,0)</f>
        <v>0</v>
      </c>
      <c r="G9" s="3">
        <v>18</v>
      </c>
    </row>
    <row r="10" spans="1:7" ht="13.8" x14ac:dyDescent="0.25">
      <c r="A10" s="86" t="s">
        <v>760</v>
      </c>
      <c r="B10" s="87">
        <f>SUMPRODUCT((MONTH(日報表A!A2:A8)=9)*(日報表A!M2:M8="")*(日報表A!N2:N8="蝦皮"))</f>
        <v>0</v>
      </c>
      <c r="C10" s="87">
        <f>SUMPRODUCT((MONTH(日報表A!A2:A8)=9)*(日報表A!M2:M8="")*(日報表A!N2:N8="露天"))</f>
        <v>0</v>
      </c>
      <c r="D10" s="87">
        <f>SUMPRODUCT((MONTH(日報表A!A2:A8)=9)*(日報表A!M2:M8="")*(日報表A!N2:N8="Y拍"))</f>
        <v>0</v>
      </c>
      <c r="E10" s="92">
        <f>SUMPRODUCT((MONTH(日報表A!A2:A8)=9)*1,日報表A!D2:D8)-SUMPRODUCT((MONTH(日報表A!A2:A8)=9)*1,日報表A!E2:E8)-SUMPRODUCT((MONTH(日報表A!A2:A8)=9)*1,日報表A!F2:F8)</f>
        <v>0</v>
      </c>
      <c r="F10" s="103">
        <f>ROUND(SUMPRODUCT((MONTH(日報表A!A2:A8)=9)*1,日報表A!L2:L8)-月報表A!H10-月報表A!J10,0)</f>
        <v>0</v>
      </c>
      <c r="G10" s="3">
        <v>18</v>
      </c>
    </row>
    <row r="11" spans="1:7" ht="13.8" x14ac:dyDescent="0.25">
      <c r="A11" s="86" t="s">
        <v>761</v>
      </c>
      <c r="B11" s="87">
        <f>SUMPRODUCT((MONTH(日報表A!A2:A8)=10)*(日報表A!M2:M8="")*(日報表A!N2:N8="蝦皮"))</f>
        <v>0</v>
      </c>
      <c r="C11" s="87">
        <f>SUMPRODUCT((MONTH(日報表A!A2:A8)=10)*(日報表A!M2:M8="")*(日報表A!N2:N8="露天"))</f>
        <v>0</v>
      </c>
      <c r="D11" s="87">
        <f>SUMPRODUCT((MONTH(日報表A!A2:A8)=10)*(日報表A!M2:M8="")*(日報表A!N2:N8="Y拍"))</f>
        <v>0</v>
      </c>
      <c r="E11" s="92">
        <f>SUMPRODUCT((MONTH(日報表A!A2:A8)=10)*1,日報表A!D2:D8)-SUMPRODUCT((MONTH(日報表A!A2:A8)=10)*1,日報表A!E2:E8)-SUMPRODUCT((MONTH(日報表A!A2:A8)=10)*1,日報表A!F2:F8)</f>
        <v>0</v>
      </c>
      <c r="F11" s="103">
        <f>ROUND(SUMPRODUCT((MONTH(日報表A!A2:A8)=10)*1,日報表A!L2:L8)-月報表A!H11-月報表A!J11,0)</f>
        <v>0</v>
      </c>
      <c r="G11" s="3">
        <v>18</v>
      </c>
    </row>
    <row r="12" spans="1:7" ht="13.8" x14ac:dyDescent="0.25">
      <c r="A12" s="86" t="s">
        <v>762</v>
      </c>
      <c r="B12" s="87">
        <f>SUMPRODUCT((MONTH(日報表A!A2:A8)=11)*(日報表A!M2:M8="")*(日報表A!N2:N8="蝦皮"))</f>
        <v>4</v>
      </c>
      <c r="C12" s="87">
        <f>SUMPRODUCT((MONTH(日報表A!A2:A8)=11)*(日報表A!M2:M8="")*(日報表A!N2:N8="露天"))</f>
        <v>2</v>
      </c>
      <c r="D12" s="87">
        <f>SUMPRODUCT((MONTH(日報表A!A2:A8)=11)*(日報表A!M2:M8="")*(日報表A!N2:N8="Y拍"))</f>
        <v>1</v>
      </c>
      <c r="E12" s="92">
        <f>SUMPRODUCT((MONTH(日報表A!A2:A8)=11)*1,日報表A!D2:D8)-SUMPRODUCT((MONTH(日報表A!A2:A8)=11)*1,日報表A!E2:E8)-SUMPRODUCT((MONTH(日報表A!A2:A8)=11)*1,日報表A!F2:F8)</f>
        <v>2137.3100436681225</v>
      </c>
      <c r="F12" s="106">
        <f>ROUND(SUMPRODUCT((MONTH(日報表A!A2:A8)=11)*1,日報表A!L2:L8)-月報表A!H12-月報表A!J12,0)</f>
        <v>750</v>
      </c>
      <c r="G12" s="3">
        <v>18</v>
      </c>
    </row>
    <row r="13" spans="1:7" ht="13.8" x14ac:dyDescent="0.25">
      <c r="A13" s="88" t="s">
        <v>763</v>
      </c>
      <c r="B13" s="87">
        <f>SUMPRODUCT((MONTH(日報表A!A2:A8)=12)*(日報表A!M2:M8="")*(日報表A!N2:N8="蝦皮"))</f>
        <v>0</v>
      </c>
      <c r="C13" s="87">
        <f>SUMPRODUCT((MONTH(日報表A!A2:A8)=12)*(日報表A!M2:M8="")*(日報表A!N2:N8="露天"))</f>
        <v>0</v>
      </c>
      <c r="D13" s="87">
        <f>SUMPRODUCT((MONTH(日報表A!A2:A8)=12)*(日報表A!M2:M8="")*(日報表A!N2:N8="Y拍"))</f>
        <v>0</v>
      </c>
      <c r="E13" s="92">
        <f>SUMPRODUCT((MONTH(日報表A!A2:A8)=12)*1,日報表A!D2:D8)-SUMPRODUCT((MONTH(日報表A!A2:A8)=12)*1,日報表A!E2:E8)-SUMPRODUCT((MONTH(日報表A!A2:A8)=12)*1,日報表A!F2:F8)</f>
        <v>0</v>
      </c>
      <c r="F13" s="103">
        <f>ROUND(SUMPRODUCT((MONTH(日報表A!A2:A8)=12)*1,日報表A!L2:L8)-月報表A!H13-月報表A!J13,0)</f>
        <v>0</v>
      </c>
      <c r="G13" s="3">
        <v>18</v>
      </c>
    </row>
    <row r="18" spans="1:100" ht="13.8" thickBot="1" x14ac:dyDescent="0.3"/>
    <row r="19" spans="1:100" ht="13.8" thickBot="1" x14ac:dyDescent="0.3">
      <c r="D19" s="81" t="s">
        <v>1017</v>
      </c>
    </row>
    <row r="24" spans="1:100" ht="13.8" thickBot="1" x14ac:dyDescent="0.3"/>
    <row r="25" spans="1:100" ht="14.4" thickBot="1" x14ac:dyDescent="0.3">
      <c r="U25" s="119" t="str">
        <f>D32</f>
        <v>(A7)女生上衣裙</v>
      </c>
      <c r="V25" s="120"/>
    </row>
    <row r="26" spans="1:100" ht="14.4" thickBot="1" x14ac:dyDescent="0.3">
      <c r="S26" s="87"/>
      <c r="T26" s="87"/>
      <c r="U26" s="89" t="s">
        <v>75</v>
      </c>
      <c r="V26" s="90" t="s">
        <v>770</v>
      </c>
    </row>
    <row r="27" spans="1:100" ht="14.4" x14ac:dyDescent="0.25">
      <c r="A27" s="104" t="s">
        <v>752</v>
      </c>
      <c r="B27" s="104" t="s">
        <v>867</v>
      </c>
      <c r="C27" s="104" t="s">
        <v>866</v>
      </c>
      <c r="U27" s="95" t="s">
        <v>359</v>
      </c>
      <c r="V27" s="91">
        <v>1</v>
      </c>
    </row>
    <row r="28" spans="1:100" ht="14.4" x14ac:dyDescent="0.25">
      <c r="A28" s="86" t="s">
        <v>769</v>
      </c>
      <c r="B28" s="93">
        <f>SUMPRODUCT((MONTH(出庫!G2:G100)=1)*(出庫!B2:B100="女生上衣裙"),出庫!F2:F100)</f>
        <v>0</v>
      </c>
      <c r="C28" s="105">
        <f>SUMPRODUCT((MONTH(出庫!G2:G100)=1)*(出庫!B2:B100="女生上衣裙"),出庫!F2:F100)-CV28*80</f>
        <v>0</v>
      </c>
      <c r="U28" s="95" t="s">
        <v>360</v>
      </c>
      <c r="V28" s="91">
        <v>1</v>
      </c>
      <c r="CV28" s="3">
        <f>SUMPRODUCT((MONTH(出庫!G2:G100)=1)*(出庫!B2:B100="女生上衣裙"),出庫!D2:D100)</f>
        <v>0</v>
      </c>
    </row>
    <row r="29" spans="1:100" ht="14.4" x14ac:dyDescent="0.25">
      <c r="A29" s="86" t="s">
        <v>753</v>
      </c>
      <c r="B29" s="93">
        <f>SUMPRODUCT((MONTH(出庫!G2:G100)=2)*(出庫!B2:B100="女生上衣裙"),出庫!F2:F100)</f>
        <v>0</v>
      </c>
      <c r="C29" s="105">
        <f>SUMPRODUCT((MONTH(出庫!G2:G100)=2)*(出庫!B2:B100="女生上衣裙"),出庫!F2:F100)-CV29*80</f>
        <v>0</v>
      </c>
      <c r="S29" s="87"/>
      <c r="T29" s="87"/>
      <c r="U29" s="95" t="s">
        <v>361</v>
      </c>
      <c r="V29" s="91">
        <v>1</v>
      </c>
      <c r="CV29" s="3">
        <f>SUMPRODUCT((MONTH(出庫!G2:G100)=2)*(出庫!B2:B100="女生上衣裙"),出庫!D2:D100)</f>
        <v>0</v>
      </c>
    </row>
    <row r="30" spans="1:100" ht="13.8" x14ac:dyDescent="0.25">
      <c r="A30" s="86" t="s">
        <v>754</v>
      </c>
      <c r="B30" s="93">
        <f>SUMPRODUCT((MONTH(出庫!G2:G100)=3)*(出庫!B2:B100="女生上衣裙"),出庫!F2:F100)</f>
        <v>0</v>
      </c>
      <c r="C30" s="105">
        <f>SUMPRODUCT((MONTH(出庫!G2:G100)=3)*(出庫!B2:B100="女生上衣裙"),出庫!F2:F100)-CV30*80</f>
        <v>0</v>
      </c>
      <c r="S30" s="87"/>
      <c r="T30" s="87"/>
      <c r="U30"/>
      <c r="V30"/>
      <c r="CV30" s="3">
        <f>SUMPRODUCT((MONTH(出庫!G2:G100)=3)*(出庫!B2:B100="女生上衣裙"),出庫!D2:D100)</f>
        <v>0</v>
      </c>
    </row>
    <row r="31" spans="1:100" ht="14.4" thickBot="1" x14ac:dyDescent="0.3">
      <c r="A31" s="86" t="s">
        <v>755</v>
      </c>
      <c r="B31" s="93">
        <f>SUMPRODUCT((MONTH(出庫!G2:G100)=4)*(出庫!B2:B100="女生上衣裙"),出庫!F2:F100)</f>
        <v>0</v>
      </c>
      <c r="C31" s="105">
        <f>SUMPRODUCT((MONTH(出庫!G2:G100)=4)*(出庫!B2:B100="女生上衣裙"),出庫!F2:F100)-CV31*80</f>
        <v>0</v>
      </c>
      <c r="U31"/>
      <c r="V31"/>
      <c r="CV31" s="3">
        <f>SUMPRODUCT((MONTH(出庫!G2:G100)=4)*(出庫!B2:B100="女生上衣裙"),出庫!D2:D100)</f>
        <v>0</v>
      </c>
    </row>
    <row r="32" spans="1:100" ht="13.8" x14ac:dyDescent="0.25">
      <c r="A32" s="86" t="s">
        <v>756</v>
      </c>
      <c r="B32" s="93">
        <f>SUMPRODUCT((MONTH(出庫!G2:G100)=5)*(出庫!B2:B100="女生上衣裙"),出庫!F2:F100)</f>
        <v>0</v>
      </c>
      <c r="C32" s="105">
        <f>SUMPRODUCT((MONTH(出庫!G2:G100)=5)*(出庫!B2:B100="女生上衣裙"),出庫!F2:F100)-CV32*80</f>
        <v>0</v>
      </c>
      <c r="D32" s="121" t="s">
        <v>772</v>
      </c>
      <c r="E32" s="122"/>
      <c r="F32" s="123"/>
      <c r="U32"/>
      <c r="V32"/>
      <c r="CV32" s="3">
        <f>SUMPRODUCT((MONTH(出庫!G2:G100)=5)*(出庫!B2:B100="女生上衣裙"),出庫!D2:D100)</f>
        <v>0</v>
      </c>
    </row>
    <row r="33" spans="1:100" ht="14.4" thickBot="1" x14ac:dyDescent="0.3">
      <c r="A33" s="86" t="s">
        <v>757</v>
      </c>
      <c r="B33" s="93">
        <f>SUMPRODUCT((MONTH(出庫!G2:G100)=6)*(出庫!B2:B100="女生上衣裙"),出庫!F2:F100)</f>
        <v>0</v>
      </c>
      <c r="C33" s="105">
        <f>SUMPRODUCT((MONTH(出庫!G2:G100)=6)*(出庫!B2:B100="女生上衣裙"),出庫!F2:F100)-CV33*80</f>
        <v>0</v>
      </c>
      <c r="D33" s="124"/>
      <c r="E33" s="125"/>
      <c r="F33" s="126"/>
      <c r="U33"/>
      <c r="V33"/>
      <c r="CV33" s="3">
        <f>SUMPRODUCT((MONTH(出庫!G2:G100)=6)*(出庫!B2:B100="女生上衣裙"),出庫!D2:D100)</f>
        <v>0</v>
      </c>
    </row>
    <row r="34" spans="1:100" ht="13.8" x14ac:dyDescent="0.25">
      <c r="A34" s="86" t="s">
        <v>758</v>
      </c>
      <c r="B34" s="93">
        <f>SUMPRODUCT((MONTH(出庫!G2:G100)=7)*(出庫!B2:B100="女生上衣裙"),出庫!F2:F100)</f>
        <v>0</v>
      </c>
      <c r="C34" s="105">
        <f>SUMPRODUCT((MONTH(出庫!G2:G100)=7)*(出庫!B2:B100="女生上衣裙"),出庫!F2:F100)-CV34*80</f>
        <v>0</v>
      </c>
      <c r="D34"/>
      <c r="E34"/>
      <c r="F34"/>
      <c r="U34"/>
      <c r="V34"/>
      <c r="CV34" s="3">
        <f>SUMPRODUCT((MONTH(出庫!G2:G100)=7)*(出庫!B2:B100="女生上衣裙"),出庫!D2:D100)</f>
        <v>0</v>
      </c>
    </row>
    <row r="35" spans="1:100" ht="13.8" x14ac:dyDescent="0.25">
      <c r="A35" s="86" t="s">
        <v>759</v>
      </c>
      <c r="B35" s="93">
        <f>SUMPRODUCT((MONTH(出庫!G2:G100)=8)*(出庫!B2:B100="女生上衣裙"),出庫!F2:F100)</f>
        <v>0</v>
      </c>
      <c r="C35" s="105">
        <f>SUMPRODUCT((MONTH(出庫!G2:G100)=8)*(出庫!B2:B100="女生上衣裙"),出庫!F2:F100)-CV35*80</f>
        <v>0</v>
      </c>
      <c r="U35"/>
      <c r="V35"/>
      <c r="CV35" s="3">
        <f>SUMPRODUCT((MONTH(出庫!G2:G100)=8)*(出庫!B2:B100="女生上衣裙"),出庫!D2:D100)</f>
        <v>0</v>
      </c>
    </row>
    <row r="36" spans="1:100" ht="13.8" x14ac:dyDescent="0.25">
      <c r="A36" s="86" t="s">
        <v>760</v>
      </c>
      <c r="B36" s="93">
        <f>SUMPRODUCT((MONTH(出庫!G2:G100)=9)*(出庫!B2:B100="女生上衣裙"),出庫!F2:F100)</f>
        <v>0</v>
      </c>
      <c r="C36" s="105">
        <f>SUMPRODUCT((MONTH(出庫!G2:G100)=9)*(出庫!B2:B100="女生上衣裙"),出庫!F2:F100)-CV36*80</f>
        <v>0</v>
      </c>
      <c r="U36"/>
      <c r="V36"/>
      <c r="CV36" s="3">
        <f>SUMPRODUCT((MONTH(出庫!G2:G100)=9)*(出庫!B2:B100="女生上衣裙"),出庫!D2:D100)</f>
        <v>0</v>
      </c>
    </row>
    <row r="37" spans="1:100" ht="13.8" x14ac:dyDescent="0.25">
      <c r="A37" s="86" t="s">
        <v>761</v>
      </c>
      <c r="B37" s="93">
        <f>SUMPRODUCT((MONTH(出庫!G2:G100)=10)*(出庫!B2:B100="女生上衣裙"),出庫!F2:F100)</f>
        <v>0</v>
      </c>
      <c r="C37" s="105">
        <f>SUMPRODUCT((MONTH(出庫!G2:G100)=10)*(出庫!B2:B100="女生上衣裙"),出庫!F2:F100)-CV37*80</f>
        <v>0</v>
      </c>
      <c r="U37"/>
      <c r="V37"/>
      <c r="CV37" s="3">
        <f>SUMPRODUCT((MONTH(出庫!G2:G100)=10)*(出庫!B2:B100="女生上衣裙"),出庫!D2:D100)</f>
        <v>0</v>
      </c>
    </row>
    <row r="38" spans="1:100" ht="13.8" x14ac:dyDescent="0.25">
      <c r="A38" s="86" t="s">
        <v>762</v>
      </c>
      <c r="B38" s="93">
        <f>SUMPRODUCT((MONTH(出庫!G2:G100)=11)*(出庫!B2:B100="女生上衣裙"),出庫!F2:F100)</f>
        <v>354</v>
      </c>
      <c r="C38" s="96">
        <f>SUMPRODUCT((MONTH(出庫!G2:G100)=11)*(出庫!B2:B100="女生上衣裙"),出庫!F2:F100)-CV38*80</f>
        <v>114</v>
      </c>
      <c r="U38"/>
      <c r="V38"/>
      <c r="CV38" s="3">
        <f>SUMPRODUCT((MONTH(出庫!G2:G100)=11)*(出庫!B2:B100="女生上衣裙"),出庫!D2:D100)</f>
        <v>3</v>
      </c>
    </row>
    <row r="39" spans="1:100" ht="13.8" x14ac:dyDescent="0.25">
      <c r="A39" s="88" t="s">
        <v>763</v>
      </c>
      <c r="B39" s="93">
        <f>SUMPRODUCT((MONTH(出庫!G2:G100)=12)*(出庫!B2:B100="女生上衣裙"),出庫!F2:F100)</f>
        <v>0</v>
      </c>
      <c r="C39" s="105">
        <f>SUMPRODUCT((MONTH(出庫!G2:G100)=12)*(出庫!B2:B100="女生上衣裙"),出庫!F2:F100)-CV39*80</f>
        <v>0</v>
      </c>
      <c r="U39"/>
      <c r="V39"/>
      <c r="CV39" s="3">
        <f>SUMPRODUCT((MONTH(出庫!G2:G100)=12)*(出庫!B2:B100="女生上衣裙"),出庫!D2:D100)</f>
        <v>0</v>
      </c>
    </row>
    <row r="40" spans="1:100" x14ac:dyDescent="0.25">
      <c r="U40"/>
      <c r="V40"/>
    </row>
    <row r="41" spans="1:100" x14ac:dyDescent="0.25">
      <c r="U41"/>
      <c r="V41"/>
    </row>
    <row r="42" spans="1:100" x14ac:dyDescent="0.25">
      <c r="U42"/>
      <c r="V42"/>
    </row>
    <row r="43" spans="1:100" ht="13.8" x14ac:dyDescent="0.25">
      <c r="A43" s="2"/>
      <c r="U43"/>
      <c r="V43"/>
    </row>
    <row r="44" spans="1:100" x14ac:dyDescent="0.25">
      <c r="A44" s="3" t="s">
        <v>781</v>
      </c>
      <c r="U44"/>
      <c r="V44"/>
    </row>
    <row r="45" spans="1:100" x14ac:dyDescent="0.25">
      <c r="A45" s="10" t="s">
        <v>771</v>
      </c>
      <c r="B45" s="97">
        <f>SUMPRODUCT((出庫!B2:B100="男生冰絲打底褲")*1,出庫!F2:F100)</f>
        <v>4002</v>
      </c>
      <c r="U45"/>
      <c r="V45"/>
    </row>
    <row r="46" spans="1:100" x14ac:dyDescent="0.25">
      <c r="A46" s="10" t="s">
        <v>774</v>
      </c>
      <c r="B46" s="97">
        <f>SUMPRODUCT((出庫!B2:B100="女生冰絲打底褲")*1,出庫!F2:F100)</f>
        <v>2227</v>
      </c>
    </row>
    <row r="47" spans="1:100" x14ac:dyDescent="0.25">
      <c r="A47" s="10" t="s">
        <v>777</v>
      </c>
      <c r="B47" s="97">
        <f>SUMPRODUCT((出庫!B2:B100="食品獨立罐裝200G")*1,出庫!F2:F100)</f>
        <v>1899</v>
      </c>
    </row>
    <row r="48" spans="1:100" x14ac:dyDescent="0.25">
      <c r="A48" s="10" t="s">
        <v>778</v>
      </c>
      <c r="B48" s="97">
        <f>SUMPRODUCT((出庫!B2:B100="女生植物纖維打底褲")*1,出庫!F2:F100)</f>
        <v>975</v>
      </c>
      <c r="E48" s="96"/>
    </row>
    <row r="49" spans="1:2" x14ac:dyDescent="0.25">
      <c r="A49" s="10" t="s">
        <v>773</v>
      </c>
      <c r="B49" s="97">
        <f>SUMPRODUCT((出庫!B2:B100="單入食品")*1,出庫!F2:F100)</f>
        <v>679</v>
      </c>
    </row>
    <row r="50" spans="1:2" x14ac:dyDescent="0.25">
      <c r="A50" s="10" t="s">
        <v>779</v>
      </c>
      <c r="B50" s="97">
        <f>SUMPRODUCT((出庫!B2:B100="女生刺繡隱形襪")*1,出庫!F2:F100)</f>
        <v>585</v>
      </c>
    </row>
    <row r="51" spans="1:2" x14ac:dyDescent="0.25">
      <c r="A51" s="10" t="s">
        <v>772</v>
      </c>
      <c r="B51" s="97">
        <f>SUMPRODUCT((出庫!B2:B100="女生上衣裙")*1,出庫!F2:F100)</f>
        <v>354</v>
      </c>
    </row>
    <row r="52" spans="1:2" x14ac:dyDescent="0.25">
      <c r="A52" s="10" t="s">
        <v>780</v>
      </c>
      <c r="B52" s="97">
        <f>SUMPRODUCT((出庫!B2:B100="男女情侶短襪")*1,出庫!F2:F100)</f>
        <v>312</v>
      </c>
    </row>
    <row r="53" spans="1:2" x14ac:dyDescent="0.25">
      <c r="A53" s="10" t="s">
        <v>775</v>
      </c>
      <c r="B53" s="97">
        <f>SUMPRODUCT((出庫!B2:B100="印花短褲-加大碼")*1,出庫!F2:F100)</f>
        <v>196</v>
      </c>
    </row>
    <row r="54" spans="1:2" x14ac:dyDescent="0.25">
      <c r="A54" s="10" t="s">
        <v>776</v>
      </c>
      <c r="B54" s="97">
        <f>SUMPRODUCT((出庫!B2:B100="印花短褲-均碼")*1,出庫!F2:F100)</f>
        <v>98</v>
      </c>
    </row>
    <row r="55" spans="1:2" x14ac:dyDescent="0.25">
      <c r="A55" s="10" t="s">
        <v>818</v>
      </c>
      <c r="B55" s="97">
        <f>SUMPRODUCT((出庫!B2:B100="（女）隱形襪")*1,出庫!F2:F100)</f>
        <v>50</v>
      </c>
    </row>
    <row r="56" spans="1:2" x14ac:dyDescent="0.25">
      <c r="A56" s="10" t="s">
        <v>817</v>
      </c>
      <c r="B56" s="97">
        <f>SUMPRODUCT((出庫!B2:B100="（女）OURTANKS中筒襪")*1,出庫!F2:F100)</f>
        <v>45</v>
      </c>
    </row>
    <row r="57" spans="1:2" x14ac:dyDescent="0.25">
      <c r="A57"/>
    </row>
    <row r="58" spans="1:2" x14ac:dyDescent="0.25">
      <c r="A58"/>
    </row>
    <row r="59" spans="1:2" x14ac:dyDescent="0.25">
      <c r="A59"/>
    </row>
    <row r="60" spans="1:2" x14ac:dyDescent="0.25">
      <c r="A60"/>
    </row>
    <row r="61" spans="1:2" x14ac:dyDescent="0.25">
      <c r="A61"/>
    </row>
    <row r="62" spans="1:2" x14ac:dyDescent="0.25">
      <c r="A62"/>
    </row>
    <row r="63" spans="1:2" x14ac:dyDescent="0.25">
      <c r="A63"/>
    </row>
    <row r="64" spans="1:2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</sheetData>
  <sortState xmlns:xlrd2="http://schemas.microsoft.com/office/spreadsheetml/2017/richdata2" ref="A45:B56">
    <sortCondition descending="1" ref="B45"/>
  </sortState>
  <mergeCells count="2">
    <mergeCell ref="U25:V25"/>
    <mergeCell ref="D32:F33"/>
  </mergeCells>
  <phoneticPr fontId="2" type="noConversion"/>
  <dataValidations count="1">
    <dataValidation type="list" showInputMessage="1" showErrorMessage="1" sqref="D19" xr:uid="{DEBFE061-FC71-48E4-96CB-9AF0BD87C7D5}">
      <formula1>"A,B,A+B"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257D3D-C768-4B5A-91A5-87DADA5F5B1E}">
          <x14:formula1>
            <xm:f>出庫!$AZ$2:$AZ$13</xm:f>
          </x14:formula1>
          <xm:sqref>D32:F33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K99"/>
  <sheetViews>
    <sheetView topLeftCell="A35" workbookViewId="0">
      <selection activeCell="G45" sqref="G45"/>
    </sheetView>
  </sheetViews>
  <sheetFormatPr defaultColWidth="8.88671875" defaultRowHeight="14.4" x14ac:dyDescent="0.25"/>
  <cols>
    <col min="1" max="1" width="7.6640625" style="21" customWidth="1"/>
    <col min="2" max="2" width="25.44140625" style="21" customWidth="1"/>
    <col min="3" max="3" width="13" style="21" customWidth="1"/>
    <col min="4" max="5" width="9" style="21" customWidth="1"/>
    <col min="6" max="6" width="8.6640625" style="21" customWidth="1"/>
    <col min="7" max="7" width="11.33203125" style="21" customWidth="1"/>
    <col min="8" max="8" width="13.5546875" style="21" customWidth="1"/>
    <col min="9" max="9" width="21.88671875" style="24" bestFit="1" customWidth="1"/>
    <col min="10" max="10" width="19.44140625" style="21" bestFit="1" customWidth="1"/>
    <col min="11" max="16384" width="8.88671875" style="21"/>
  </cols>
  <sheetData>
    <row r="1" spans="1:11" x14ac:dyDescent="0.25">
      <c r="A1" s="24"/>
      <c r="B1" s="24"/>
      <c r="C1" s="24"/>
      <c r="D1" s="127" t="s">
        <v>85</v>
      </c>
      <c r="E1" s="127"/>
      <c r="F1" s="127" t="s">
        <v>86</v>
      </c>
      <c r="G1" s="127"/>
      <c r="H1" s="24"/>
    </row>
    <row r="2" spans="1:11" x14ac:dyDescent="0.25">
      <c r="A2" s="24" t="s">
        <v>73</v>
      </c>
      <c r="B2" s="24" t="s">
        <v>74</v>
      </c>
      <c r="C2" s="24" t="s">
        <v>75</v>
      </c>
      <c r="D2" s="24" t="s">
        <v>88</v>
      </c>
      <c r="E2" s="24" t="s">
        <v>89</v>
      </c>
      <c r="F2" s="24" t="s">
        <v>88</v>
      </c>
      <c r="G2" s="24" t="s">
        <v>89</v>
      </c>
      <c r="H2" s="24" t="s">
        <v>87</v>
      </c>
      <c r="I2" s="49" t="s">
        <v>352</v>
      </c>
      <c r="J2" s="49" t="s">
        <v>353</v>
      </c>
    </row>
    <row r="3" spans="1:11" x14ac:dyDescent="0.25">
      <c r="A3" s="21" t="s">
        <v>255</v>
      </c>
      <c r="B3" s="21" t="s">
        <v>365</v>
      </c>
      <c r="C3" s="21" t="s">
        <v>368</v>
      </c>
      <c r="D3" s="21">
        <v>50</v>
      </c>
      <c r="E3" s="21">
        <v>1000</v>
      </c>
      <c r="F3" s="21">
        <v>28</v>
      </c>
      <c r="G3" s="21">
        <v>1116</v>
      </c>
      <c r="H3" s="21">
        <v>22</v>
      </c>
      <c r="I3" s="21">
        <v>20</v>
      </c>
      <c r="J3" s="21">
        <v>20</v>
      </c>
    </row>
    <row r="4" spans="1:11" x14ac:dyDescent="0.25">
      <c r="A4" s="21" t="s">
        <v>255</v>
      </c>
      <c r="B4" s="21" t="s">
        <v>365</v>
      </c>
      <c r="C4" s="21" t="s">
        <v>372</v>
      </c>
      <c r="D4" s="21">
        <v>50</v>
      </c>
      <c r="E4" s="21">
        <v>1000</v>
      </c>
      <c r="F4" s="21">
        <v>22</v>
      </c>
      <c r="G4" s="21">
        <v>889</v>
      </c>
      <c r="H4" s="21">
        <v>28</v>
      </c>
      <c r="I4" s="21">
        <v>20</v>
      </c>
      <c r="J4" s="21">
        <v>20</v>
      </c>
    </row>
    <row r="5" spans="1:11" x14ac:dyDescent="0.25">
      <c r="A5" s="21" t="s">
        <v>255</v>
      </c>
      <c r="B5" s="21" t="s">
        <v>365</v>
      </c>
      <c r="C5" s="21" t="s">
        <v>367</v>
      </c>
      <c r="D5" s="21">
        <v>50</v>
      </c>
      <c r="E5" s="21">
        <v>1000</v>
      </c>
      <c r="F5" s="21">
        <v>12</v>
      </c>
      <c r="G5" s="21">
        <v>492</v>
      </c>
      <c r="H5" s="21">
        <v>38</v>
      </c>
      <c r="I5" s="21">
        <v>20</v>
      </c>
      <c r="J5" s="21">
        <v>20</v>
      </c>
    </row>
    <row r="6" spans="1:11" x14ac:dyDescent="0.25">
      <c r="A6" s="21" t="s">
        <v>255</v>
      </c>
      <c r="B6" s="21" t="s">
        <v>365</v>
      </c>
      <c r="C6" s="21" t="s">
        <v>361</v>
      </c>
      <c r="D6" s="21">
        <v>50</v>
      </c>
      <c r="E6" s="21">
        <v>1000</v>
      </c>
      <c r="F6" s="21">
        <v>2</v>
      </c>
      <c r="G6" s="21">
        <v>117</v>
      </c>
      <c r="H6" s="21">
        <v>48</v>
      </c>
      <c r="I6" s="21">
        <v>20</v>
      </c>
      <c r="J6" s="21">
        <v>20</v>
      </c>
    </row>
    <row r="7" spans="1:11" x14ac:dyDescent="0.25">
      <c r="A7" s="21" t="s">
        <v>255</v>
      </c>
      <c r="B7" s="21" t="s">
        <v>365</v>
      </c>
      <c r="C7" s="21" t="s">
        <v>383</v>
      </c>
      <c r="D7" s="21">
        <v>50</v>
      </c>
      <c r="E7" s="21">
        <v>1000</v>
      </c>
      <c r="F7" s="21">
        <v>0</v>
      </c>
      <c r="G7" s="21">
        <v>39</v>
      </c>
      <c r="H7" s="21">
        <v>50</v>
      </c>
      <c r="I7" s="21">
        <v>20</v>
      </c>
      <c r="J7" s="21">
        <v>20</v>
      </c>
    </row>
    <row r="8" spans="1:11" x14ac:dyDescent="0.25">
      <c r="A8" s="21" t="s">
        <v>255</v>
      </c>
      <c r="B8" s="21" t="s">
        <v>365</v>
      </c>
      <c r="C8" s="21" t="s">
        <v>371</v>
      </c>
      <c r="D8" s="21">
        <v>50</v>
      </c>
      <c r="E8" s="21">
        <v>1000</v>
      </c>
      <c r="F8" s="21">
        <v>4</v>
      </c>
      <c r="G8" s="21">
        <v>148</v>
      </c>
      <c r="H8" s="21">
        <v>46</v>
      </c>
      <c r="I8" s="21">
        <v>20</v>
      </c>
      <c r="J8" s="21">
        <v>20</v>
      </c>
    </row>
    <row r="9" spans="1:11" x14ac:dyDescent="0.25">
      <c r="A9" s="21" t="s">
        <v>255</v>
      </c>
      <c r="B9" s="21" t="s">
        <v>365</v>
      </c>
      <c r="C9" s="21" t="s">
        <v>366</v>
      </c>
      <c r="D9" s="21">
        <v>50</v>
      </c>
      <c r="E9" s="21">
        <v>1000</v>
      </c>
      <c r="F9" s="21">
        <v>12</v>
      </c>
      <c r="G9" s="21">
        <v>492</v>
      </c>
      <c r="H9" s="21">
        <v>38</v>
      </c>
      <c r="I9" s="21">
        <v>20</v>
      </c>
      <c r="J9" s="21">
        <v>20</v>
      </c>
    </row>
    <row r="10" spans="1:11" x14ac:dyDescent="0.25">
      <c r="A10" s="21" t="s">
        <v>255</v>
      </c>
      <c r="B10" s="21" t="s">
        <v>365</v>
      </c>
      <c r="C10" s="21" t="s">
        <v>373</v>
      </c>
      <c r="D10" s="21">
        <v>50</v>
      </c>
      <c r="E10" s="21">
        <v>1000</v>
      </c>
      <c r="F10" s="21">
        <v>4</v>
      </c>
      <c r="G10" s="41">
        <v>187</v>
      </c>
      <c r="H10" s="41">
        <v>46</v>
      </c>
      <c r="I10" s="41">
        <v>20</v>
      </c>
      <c r="J10" s="41">
        <v>20</v>
      </c>
      <c r="K10" s="41"/>
    </row>
    <row r="11" spans="1:11" x14ac:dyDescent="0.25">
      <c r="A11" s="21" t="s">
        <v>255</v>
      </c>
      <c r="B11" s="21" t="s">
        <v>365</v>
      </c>
      <c r="C11" s="21" t="s">
        <v>375</v>
      </c>
      <c r="D11" s="21">
        <v>50</v>
      </c>
      <c r="E11" s="21">
        <v>1000</v>
      </c>
      <c r="F11" s="21">
        <v>4</v>
      </c>
      <c r="G11" s="41">
        <v>148</v>
      </c>
      <c r="H11" s="41">
        <v>46</v>
      </c>
      <c r="I11" s="41">
        <v>20</v>
      </c>
      <c r="J11" s="41">
        <v>20</v>
      </c>
      <c r="K11" s="41"/>
    </row>
    <row r="12" spans="1:11" x14ac:dyDescent="0.25">
      <c r="A12" s="21" t="s">
        <v>255</v>
      </c>
      <c r="B12" s="21" t="s">
        <v>365</v>
      </c>
      <c r="C12" s="21" t="s">
        <v>374</v>
      </c>
      <c r="D12" s="21">
        <v>50</v>
      </c>
      <c r="E12" s="21">
        <v>1000</v>
      </c>
      <c r="F12" s="21">
        <v>12</v>
      </c>
      <c r="G12" s="41">
        <v>483</v>
      </c>
      <c r="H12" s="41">
        <v>38</v>
      </c>
      <c r="I12" s="41">
        <v>20</v>
      </c>
      <c r="J12" s="41">
        <v>20</v>
      </c>
      <c r="K12" s="41"/>
    </row>
    <row r="13" spans="1:11" x14ac:dyDescent="0.25">
      <c r="A13" s="21" t="s">
        <v>256</v>
      </c>
      <c r="B13" s="21" t="s">
        <v>355</v>
      </c>
      <c r="C13" s="21" t="s">
        <v>356</v>
      </c>
      <c r="D13" s="21">
        <v>51</v>
      </c>
      <c r="E13" s="21">
        <v>1738</v>
      </c>
      <c r="F13" s="21">
        <v>23</v>
      </c>
      <c r="G13" s="41">
        <v>2967</v>
      </c>
      <c r="H13" s="41">
        <v>28</v>
      </c>
      <c r="I13" s="50">
        <v>34.078431372549019</v>
      </c>
      <c r="J13" s="50">
        <v>36</v>
      </c>
      <c r="K13" s="41"/>
    </row>
    <row r="14" spans="1:11" x14ac:dyDescent="0.25">
      <c r="A14" s="21" t="s">
        <v>256</v>
      </c>
      <c r="B14" s="21" t="s">
        <v>355</v>
      </c>
      <c r="C14" s="21" t="s">
        <v>357</v>
      </c>
      <c r="D14" s="21">
        <v>51</v>
      </c>
      <c r="E14" s="21">
        <v>1738</v>
      </c>
      <c r="F14" s="21">
        <v>17</v>
      </c>
      <c r="G14" s="41">
        <v>1863</v>
      </c>
      <c r="H14" s="41">
        <v>34</v>
      </c>
      <c r="I14" s="50">
        <v>34.078431372549019</v>
      </c>
      <c r="J14" s="50">
        <v>36</v>
      </c>
      <c r="K14" s="41"/>
    </row>
    <row r="15" spans="1:11" x14ac:dyDescent="0.25">
      <c r="A15" s="21" t="s">
        <v>257</v>
      </c>
      <c r="B15" s="21" t="s">
        <v>382</v>
      </c>
      <c r="C15" s="21" t="s">
        <v>363</v>
      </c>
      <c r="D15" s="21">
        <v>10</v>
      </c>
      <c r="E15" s="21">
        <v>1000</v>
      </c>
      <c r="F15" s="21">
        <v>2</v>
      </c>
      <c r="G15" s="41">
        <v>358</v>
      </c>
      <c r="H15" s="41">
        <v>8</v>
      </c>
      <c r="I15" s="41">
        <v>100</v>
      </c>
      <c r="J15" s="41">
        <v>100</v>
      </c>
      <c r="K15" s="41"/>
    </row>
    <row r="16" spans="1:11" x14ac:dyDescent="0.25">
      <c r="A16" s="21" t="s">
        <v>257</v>
      </c>
      <c r="B16" s="21" t="s">
        <v>382</v>
      </c>
      <c r="C16" s="21" t="s">
        <v>364</v>
      </c>
      <c r="D16" s="21">
        <v>15</v>
      </c>
      <c r="E16" s="21">
        <v>1500</v>
      </c>
      <c r="F16" s="21">
        <v>7</v>
      </c>
      <c r="G16" s="41">
        <v>1541</v>
      </c>
      <c r="H16" s="41">
        <v>8</v>
      </c>
      <c r="I16" s="41">
        <v>100</v>
      </c>
      <c r="J16" s="41">
        <v>100</v>
      </c>
      <c r="K16" s="41"/>
    </row>
    <row r="17" spans="1:11" x14ac:dyDescent="0.25">
      <c r="A17" s="21" t="s">
        <v>258</v>
      </c>
      <c r="B17" s="21" t="s">
        <v>378</v>
      </c>
      <c r="C17" s="21" t="s">
        <v>379</v>
      </c>
      <c r="D17" s="21">
        <v>60</v>
      </c>
      <c r="E17" s="21">
        <v>1460</v>
      </c>
      <c r="F17" s="21">
        <v>4</v>
      </c>
      <c r="G17" s="41">
        <v>351</v>
      </c>
      <c r="H17" s="41">
        <v>56</v>
      </c>
      <c r="I17" s="50">
        <v>24.333333333333332</v>
      </c>
      <c r="J17" s="50">
        <v>25</v>
      </c>
      <c r="K17" s="41"/>
    </row>
    <row r="18" spans="1:11" x14ac:dyDescent="0.25">
      <c r="A18" s="21" t="s">
        <v>258</v>
      </c>
      <c r="B18" s="21" t="s">
        <v>378</v>
      </c>
      <c r="C18" s="21" t="s">
        <v>380</v>
      </c>
      <c r="D18" s="21">
        <v>60</v>
      </c>
      <c r="E18" s="21">
        <v>1460</v>
      </c>
      <c r="F18" s="21">
        <v>4</v>
      </c>
      <c r="G18" s="21">
        <v>156</v>
      </c>
      <c r="H18" s="41">
        <v>56</v>
      </c>
      <c r="I18" s="50">
        <v>24.333333333333332</v>
      </c>
      <c r="J18" s="50">
        <v>25</v>
      </c>
      <c r="K18" s="41"/>
    </row>
    <row r="19" spans="1:11" x14ac:dyDescent="0.25">
      <c r="A19" s="21" t="s">
        <v>258</v>
      </c>
      <c r="B19" s="21" t="s">
        <v>378</v>
      </c>
      <c r="C19" s="21" t="s">
        <v>381</v>
      </c>
      <c r="D19" s="21">
        <v>60</v>
      </c>
      <c r="E19" s="21">
        <v>1460</v>
      </c>
      <c r="F19" s="21">
        <v>4</v>
      </c>
      <c r="G19" s="21">
        <v>156</v>
      </c>
      <c r="H19" s="41">
        <v>56</v>
      </c>
      <c r="I19" s="50">
        <v>24.333333333333332</v>
      </c>
      <c r="J19" s="50">
        <v>25</v>
      </c>
      <c r="K19" s="41"/>
    </row>
    <row r="20" spans="1:11" x14ac:dyDescent="0.25">
      <c r="A20" s="21" t="s">
        <v>259</v>
      </c>
      <c r="B20" s="21" t="s">
        <v>370</v>
      </c>
      <c r="C20" s="21" t="s">
        <v>68</v>
      </c>
      <c r="D20" s="21">
        <v>50</v>
      </c>
      <c r="E20" s="21">
        <v>1800</v>
      </c>
      <c r="F20" s="21">
        <v>4</v>
      </c>
      <c r="G20" s="21">
        <v>196</v>
      </c>
      <c r="H20" s="21">
        <v>46</v>
      </c>
      <c r="I20" s="21">
        <v>36</v>
      </c>
      <c r="J20" s="21">
        <v>36</v>
      </c>
    </row>
    <row r="21" spans="1:11" x14ac:dyDescent="0.25">
      <c r="A21" s="21" t="s">
        <v>259</v>
      </c>
      <c r="B21" s="21" t="s">
        <v>370</v>
      </c>
      <c r="C21" s="21" t="s">
        <v>65</v>
      </c>
      <c r="D21" s="21">
        <v>50</v>
      </c>
      <c r="E21" s="21">
        <v>1800</v>
      </c>
      <c r="F21" s="21">
        <v>4</v>
      </c>
      <c r="G21" s="21">
        <v>196</v>
      </c>
      <c r="H21" s="21">
        <v>46</v>
      </c>
      <c r="I21" s="21">
        <v>36</v>
      </c>
      <c r="J21" s="21">
        <v>36</v>
      </c>
    </row>
    <row r="22" spans="1:11" x14ac:dyDescent="0.25">
      <c r="A22" s="21" t="s">
        <v>259</v>
      </c>
      <c r="B22" s="21" t="s">
        <v>370</v>
      </c>
      <c r="C22" s="21" t="s">
        <v>46</v>
      </c>
      <c r="D22" s="21">
        <v>50</v>
      </c>
      <c r="E22" s="21">
        <v>1800</v>
      </c>
      <c r="F22" s="21">
        <v>0</v>
      </c>
      <c r="G22" s="21">
        <v>0</v>
      </c>
      <c r="H22" s="21">
        <v>50</v>
      </c>
      <c r="I22" s="21">
        <v>36</v>
      </c>
      <c r="J22" s="21">
        <v>36</v>
      </c>
    </row>
    <row r="23" spans="1:11" x14ac:dyDescent="0.25">
      <c r="A23" s="21" t="s">
        <v>259</v>
      </c>
      <c r="B23" s="21" t="s">
        <v>370</v>
      </c>
      <c r="C23" s="21" t="s">
        <v>63</v>
      </c>
      <c r="D23" s="21">
        <v>50</v>
      </c>
      <c r="E23" s="21">
        <v>1800</v>
      </c>
      <c r="F23" s="21">
        <v>0</v>
      </c>
      <c r="G23" s="21">
        <v>0</v>
      </c>
      <c r="H23" s="21">
        <v>50</v>
      </c>
      <c r="I23" s="21">
        <v>36</v>
      </c>
      <c r="J23" s="21">
        <v>36</v>
      </c>
    </row>
    <row r="24" spans="1:11" x14ac:dyDescent="0.25">
      <c r="A24" s="21" t="s">
        <v>260</v>
      </c>
      <c r="B24" s="21" t="s">
        <v>369</v>
      </c>
      <c r="C24" s="21" t="s">
        <v>68</v>
      </c>
      <c r="D24" s="21">
        <v>50</v>
      </c>
      <c r="E24" s="21">
        <v>2000</v>
      </c>
      <c r="F24" s="21">
        <v>4</v>
      </c>
      <c r="G24" s="21">
        <v>196</v>
      </c>
      <c r="H24" s="21">
        <v>46</v>
      </c>
      <c r="I24" s="21">
        <v>40</v>
      </c>
      <c r="J24" s="21">
        <v>40</v>
      </c>
    </row>
    <row r="25" spans="1:11" x14ac:dyDescent="0.25">
      <c r="A25" s="21" t="s">
        <v>260</v>
      </c>
      <c r="B25" s="21" t="s">
        <v>369</v>
      </c>
      <c r="C25" s="21" t="s">
        <v>65</v>
      </c>
      <c r="D25" s="21">
        <v>50</v>
      </c>
      <c r="E25" s="21">
        <v>2000</v>
      </c>
      <c r="F25" s="21">
        <v>4</v>
      </c>
      <c r="G25" s="21">
        <v>196</v>
      </c>
      <c r="H25" s="21">
        <v>46</v>
      </c>
      <c r="I25" s="21">
        <v>40</v>
      </c>
      <c r="J25" s="21">
        <v>40</v>
      </c>
    </row>
    <row r="26" spans="1:11" x14ac:dyDescent="0.25">
      <c r="A26" s="21" t="s">
        <v>260</v>
      </c>
      <c r="B26" s="21" t="s">
        <v>369</v>
      </c>
      <c r="C26" s="21" t="s">
        <v>46</v>
      </c>
      <c r="D26" s="21">
        <v>50</v>
      </c>
      <c r="E26" s="21">
        <v>2000</v>
      </c>
      <c r="F26" s="21">
        <v>4</v>
      </c>
      <c r="G26" s="21">
        <v>196</v>
      </c>
      <c r="H26" s="21">
        <v>46</v>
      </c>
      <c r="I26" s="21">
        <v>40</v>
      </c>
      <c r="J26" s="21">
        <v>40</v>
      </c>
    </row>
    <row r="27" spans="1:11" x14ac:dyDescent="0.25">
      <c r="A27" s="21" t="s">
        <v>260</v>
      </c>
      <c r="B27" s="21" t="s">
        <v>369</v>
      </c>
      <c r="C27" s="21" t="s">
        <v>63</v>
      </c>
      <c r="D27" s="21">
        <v>50</v>
      </c>
      <c r="E27" s="21">
        <v>2000</v>
      </c>
      <c r="F27" s="21">
        <v>4</v>
      </c>
      <c r="G27" s="21">
        <v>196</v>
      </c>
      <c r="H27" s="21">
        <v>46</v>
      </c>
      <c r="I27" s="21">
        <v>40</v>
      </c>
      <c r="J27" s="21">
        <v>40</v>
      </c>
    </row>
    <row r="28" spans="1:11" x14ac:dyDescent="0.25">
      <c r="A28" s="21" t="s">
        <v>261</v>
      </c>
      <c r="B28" s="21" t="s">
        <v>362</v>
      </c>
      <c r="C28" s="21" t="s">
        <v>363</v>
      </c>
      <c r="D28" s="21">
        <v>50</v>
      </c>
      <c r="E28" s="21">
        <v>300</v>
      </c>
      <c r="F28" s="21">
        <v>40</v>
      </c>
      <c r="G28" s="21">
        <v>400</v>
      </c>
      <c r="H28" s="21">
        <v>10</v>
      </c>
      <c r="I28" s="21">
        <v>6</v>
      </c>
      <c r="J28" s="21">
        <v>6</v>
      </c>
    </row>
    <row r="29" spans="1:11" x14ac:dyDescent="0.25">
      <c r="A29" s="21" t="s">
        <v>261</v>
      </c>
      <c r="B29" s="21" t="s">
        <v>362</v>
      </c>
      <c r="C29" s="21" t="s">
        <v>364</v>
      </c>
      <c r="D29" s="21">
        <v>50</v>
      </c>
      <c r="E29" s="21">
        <v>300</v>
      </c>
      <c r="F29" s="21">
        <v>160</v>
      </c>
      <c r="G29" s="21">
        <v>1600</v>
      </c>
      <c r="H29" s="21">
        <v>-110</v>
      </c>
      <c r="I29" s="21">
        <v>6</v>
      </c>
      <c r="J29" s="21">
        <v>6</v>
      </c>
    </row>
    <row r="30" spans="1:11" x14ac:dyDescent="0.25">
      <c r="A30" s="21" t="s">
        <v>262</v>
      </c>
      <c r="B30" s="21" t="s">
        <v>376</v>
      </c>
      <c r="C30" s="21" t="s">
        <v>63</v>
      </c>
      <c r="D30" s="21">
        <v>50</v>
      </c>
      <c r="E30" s="21">
        <v>1200</v>
      </c>
      <c r="F30" s="21">
        <v>16</v>
      </c>
      <c r="G30" s="21">
        <v>624</v>
      </c>
      <c r="H30" s="21">
        <v>34</v>
      </c>
      <c r="I30" s="21">
        <v>24</v>
      </c>
      <c r="J30" s="21">
        <v>24</v>
      </c>
    </row>
    <row r="31" spans="1:11" x14ac:dyDescent="0.25">
      <c r="A31" s="21" t="s">
        <v>262</v>
      </c>
      <c r="B31" s="21" t="s">
        <v>376</v>
      </c>
      <c r="C31" s="21" t="s">
        <v>65</v>
      </c>
      <c r="D31" s="21">
        <v>50</v>
      </c>
      <c r="E31" s="21">
        <v>1200</v>
      </c>
      <c r="F31" s="21">
        <v>8</v>
      </c>
      <c r="G31" s="21">
        <v>312</v>
      </c>
      <c r="H31" s="21">
        <v>42</v>
      </c>
      <c r="I31" s="21">
        <v>24</v>
      </c>
      <c r="J31" s="21">
        <v>24</v>
      </c>
    </row>
    <row r="32" spans="1:11" x14ac:dyDescent="0.25">
      <c r="A32" s="21" t="s">
        <v>262</v>
      </c>
      <c r="B32" s="21" t="s">
        <v>376</v>
      </c>
      <c r="C32" s="21" t="s">
        <v>46</v>
      </c>
      <c r="D32" s="21">
        <v>50</v>
      </c>
      <c r="E32" s="21">
        <v>1200</v>
      </c>
      <c r="F32" s="21">
        <v>20</v>
      </c>
      <c r="G32" s="21">
        <v>780</v>
      </c>
      <c r="H32" s="21">
        <v>30</v>
      </c>
      <c r="I32" s="21">
        <v>24</v>
      </c>
      <c r="J32" s="21">
        <v>24</v>
      </c>
    </row>
    <row r="33" spans="1:11" x14ac:dyDescent="0.25">
      <c r="A33" s="21" t="s">
        <v>262</v>
      </c>
      <c r="B33" s="21" t="s">
        <v>376</v>
      </c>
      <c r="C33" s="21" t="s">
        <v>68</v>
      </c>
      <c r="D33" s="21">
        <v>50</v>
      </c>
      <c r="E33" s="21">
        <v>1200</v>
      </c>
      <c r="F33" s="21">
        <v>4</v>
      </c>
      <c r="G33" s="21">
        <v>156</v>
      </c>
      <c r="H33" s="21">
        <v>46</v>
      </c>
      <c r="I33" s="21">
        <v>24</v>
      </c>
      <c r="J33" s="21">
        <v>24</v>
      </c>
    </row>
    <row r="34" spans="1:11" x14ac:dyDescent="0.25">
      <c r="A34" s="21" t="s">
        <v>262</v>
      </c>
      <c r="B34" s="21" t="s">
        <v>376</v>
      </c>
      <c r="C34" s="21" t="s">
        <v>47</v>
      </c>
      <c r="D34" s="21">
        <v>50</v>
      </c>
      <c r="E34" s="21">
        <v>1200</v>
      </c>
      <c r="F34" s="21">
        <v>4</v>
      </c>
      <c r="G34" s="21">
        <v>156</v>
      </c>
      <c r="H34" s="21">
        <v>46</v>
      </c>
      <c r="I34" s="21">
        <v>24</v>
      </c>
      <c r="J34" s="21">
        <v>24</v>
      </c>
    </row>
    <row r="35" spans="1:11" x14ac:dyDescent="0.25">
      <c r="A35" s="21" t="s">
        <v>262</v>
      </c>
      <c r="B35" s="21" t="s">
        <v>376</v>
      </c>
      <c r="C35" s="21" t="s">
        <v>70</v>
      </c>
      <c r="D35" s="21">
        <v>50</v>
      </c>
      <c r="E35" s="21">
        <v>1200</v>
      </c>
      <c r="F35" s="21">
        <v>4</v>
      </c>
      <c r="G35" s="21">
        <v>156</v>
      </c>
      <c r="H35" s="21">
        <v>46</v>
      </c>
      <c r="I35" s="21">
        <v>24</v>
      </c>
      <c r="J35" s="21">
        <v>24</v>
      </c>
    </row>
    <row r="36" spans="1:11" x14ac:dyDescent="0.25">
      <c r="A36" s="21" t="s">
        <v>262</v>
      </c>
      <c r="B36" s="21" t="s">
        <v>376</v>
      </c>
      <c r="C36" s="21" t="s">
        <v>71</v>
      </c>
      <c r="D36" s="21">
        <v>50</v>
      </c>
      <c r="E36" s="21">
        <v>1200</v>
      </c>
      <c r="F36" s="21">
        <v>4</v>
      </c>
      <c r="G36" s="21">
        <v>156</v>
      </c>
      <c r="H36" s="21">
        <v>46</v>
      </c>
      <c r="I36" s="21">
        <v>24</v>
      </c>
      <c r="J36" s="21">
        <v>24</v>
      </c>
    </row>
    <row r="37" spans="1:11" x14ac:dyDescent="0.25">
      <c r="A37" s="21" t="s">
        <v>263</v>
      </c>
      <c r="B37" s="21" t="s">
        <v>358</v>
      </c>
      <c r="C37" s="21" t="s">
        <v>367</v>
      </c>
      <c r="D37" s="21">
        <v>50</v>
      </c>
      <c r="E37" s="21">
        <v>4000</v>
      </c>
      <c r="F37" s="21">
        <v>0</v>
      </c>
      <c r="G37" s="21">
        <v>0</v>
      </c>
      <c r="H37" s="21">
        <v>50</v>
      </c>
      <c r="I37" s="21">
        <v>80</v>
      </c>
      <c r="J37" s="21">
        <v>80</v>
      </c>
    </row>
    <row r="38" spans="1:11" x14ac:dyDescent="0.25">
      <c r="A38" s="21" t="s">
        <v>263</v>
      </c>
      <c r="B38" s="21" t="s">
        <v>358</v>
      </c>
      <c r="C38" s="21" t="s">
        <v>359</v>
      </c>
      <c r="D38" s="21">
        <v>50</v>
      </c>
      <c r="E38" s="21">
        <v>4000</v>
      </c>
      <c r="F38" s="21">
        <v>4</v>
      </c>
      <c r="G38" s="21">
        <v>472</v>
      </c>
      <c r="H38" s="21">
        <v>46</v>
      </c>
      <c r="I38" s="21">
        <v>80</v>
      </c>
      <c r="J38" s="21">
        <v>80</v>
      </c>
    </row>
    <row r="39" spans="1:11" x14ac:dyDescent="0.25">
      <c r="A39" s="21" t="s">
        <v>263</v>
      </c>
      <c r="B39" s="21" t="s">
        <v>358</v>
      </c>
      <c r="C39" s="21" t="s">
        <v>360</v>
      </c>
      <c r="D39" s="21">
        <v>50</v>
      </c>
      <c r="E39" s="21">
        <v>4000</v>
      </c>
      <c r="F39" s="21">
        <v>4</v>
      </c>
      <c r="G39" s="21">
        <v>472</v>
      </c>
      <c r="H39" s="21">
        <v>46</v>
      </c>
      <c r="I39" s="21">
        <v>80</v>
      </c>
      <c r="J39" s="21">
        <v>80</v>
      </c>
    </row>
    <row r="40" spans="1:11" x14ac:dyDescent="0.25">
      <c r="A40" s="21" t="s">
        <v>263</v>
      </c>
      <c r="B40" s="21" t="s">
        <v>358</v>
      </c>
      <c r="C40" s="21" t="s">
        <v>361</v>
      </c>
      <c r="D40" s="21">
        <v>50</v>
      </c>
      <c r="E40" s="21">
        <v>4000</v>
      </c>
      <c r="F40" s="21">
        <v>4</v>
      </c>
      <c r="G40" s="21">
        <v>472</v>
      </c>
      <c r="H40" s="21">
        <v>46</v>
      </c>
      <c r="I40" s="21">
        <v>80</v>
      </c>
      <c r="J40" s="21">
        <v>80</v>
      </c>
    </row>
    <row r="41" spans="1:11" x14ac:dyDescent="0.25">
      <c r="A41" s="21" t="s">
        <v>263</v>
      </c>
      <c r="B41" s="21" t="s">
        <v>358</v>
      </c>
      <c r="C41" s="21" t="s">
        <v>384</v>
      </c>
      <c r="D41" s="21">
        <v>50</v>
      </c>
      <c r="E41" s="21">
        <v>4000</v>
      </c>
      <c r="F41" s="21">
        <v>0</v>
      </c>
      <c r="G41" s="21">
        <v>0</v>
      </c>
      <c r="H41" s="21">
        <v>50</v>
      </c>
      <c r="I41" s="21">
        <v>80</v>
      </c>
      <c r="J41" s="21">
        <v>80</v>
      </c>
    </row>
    <row r="42" spans="1:11" x14ac:dyDescent="0.25">
      <c r="A42" s="21" t="s">
        <v>263</v>
      </c>
      <c r="B42" s="21" t="s">
        <v>358</v>
      </c>
      <c r="C42" s="21" t="s">
        <v>385</v>
      </c>
      <c r="D42" s="21">
        <v>50</v>
      </c>
      <c r="E42" s="21">
        <v>4000</v>
      </c>
      <c r="F42" s="21">
        <v>0</v>
      </c>
      <c r="G42" s="21">
        <v>0</v>
      </c>
      <c r="H42" s="21">
        <v>50</v>
      </c>
      <c r="I42" s="21">
        <v>80</v>
      </c>
      <c r="J42" s="21">
        <v>80</v>
      </c>
    </row>
    <row r="43" spans="1:11" x14ac:dyDescent="0.25">
      <c r="A43" s="21" t="s">
        <v>264</v>
      </c>
      <c r="B43" s="21" t="s">
        <v>377</v>
      </c>
      <c r="C43" s="21" t="s">
        <v>373</v>
      </c>
      <c r="D43" s="21">
        <v>50</v>
      </c>
      <c r="E43" s="21">
        <v>1100</v>
      </c>
      <c r="F43" s="21">
        <v>0</v>
      </c>
      <c r="G43" s="21">
        <v>0</v>
      </c>
      <c r="H43" s="21">
        <v>50</v>
      </c>
      <c r="I43" s="21">
        <v>22</v>
      </c>
      <c r="J43" s="21">
        <v>22</v>
      </c>
      <c r="K43" s="23"/>
    </row>
    <row r="44" spans="1:11" x14ac:dyDescent="0.25">
      <c r="A44" s="21" t="s">
        <v>264</v>
      </c>
      <c r="B44" s="21" t="s">
        <v>377</v>
      </c>
      <c r="C44" s="21" t="s">
        <v>385</v>
      </c>
      <c r="D44" s="21">
        <v>50</v>
      </c>
      <c r="E44" s="21">
        <v>1100</v>
      </c>
      <c r="F44" s="21">
        <v>0</v>
      </c>
      <c r="G44" s="21">
        <v>0</v>
      </c>
      <c r="H44" s="21">
        <v>50</v>
      </c>
      <c r="I44" s="21">
        <v>22</v>
      </c>
      <c r="J44" s="21">
        <v>22</v>
      </c>
      <c r="K44" s="23"/>
    </row>
    <row r="45" spans="1:11" x14ac:dyDescent="0.25">
      <c r="A45" s="21" t="s">
        <v>264</v>
      </c>
      <c r="B45" s="21" t="s">
        <v>377</v>
      </c>
      <c r="C45" s="21" t="s">
        <v>361</v>
      </c>
      <c r="D45" s="21">
        <v>50</v>
      </c>
      <c r="E45" s="21">
        <v>1100</v>
      </c>
      <c r="F45" s="21">
        <v>80</v>
      </c>
      <c r="G45" s="21">
        <v>3315</v>
      </c>
      <c r="H45" s="21">
        <v>-30</v>
      </c>
      <c r="I45" s="21">
        <v>22</v>
      </c>
      <c r="J45" s="21">
        <v>22</v>
      </c>
      <c r="K45" s="23"/>
    </row>
    <row r="46" spans="1:11" x14ac:dyDescent="0.25">
      <c r="A46" s="21" t="s">
        <v>255</v>
      </c>
      <c r="B46" s="21" t="s">
        <v>365</v>
      </c>
      <c r="C46" s="21" t="s">
        <v>384</v>
      </c>
      <c r="D46" s="21">
        <v>50</v>
      </c>
      <c r="E46" s="21">
        <v>1000</v>
      </c>
      <c r="F46" s="21">
        <v>0</v>
      </c>
      <c r="G46" s="21">
        <v>0</v>
      </c>
      <c r="H46" s="21">
        <v>50</v>
      </c>
      <c r="I46" s="21">
        <v>20</v>
      </c>
      <c r="J46" s="21">
        <v>20</v>
      </c>
      <c r="K46" s="23"/>
    </row>
    <row r="47" spans="1:11" x14ac:dyDescent="0.25">
      <c r="A47" s="21" t="s">
        <v>782</v>
      </c>
      <c r="B47" s="21" t="s">
        <v>783</v>
      </c>
      <c r="C47" s="21" t="s">
        <v>790</v>
      </c>
      <c r="D47" s="21">
        <v>1</v>
      </c>
      <c r="E47" s="21">
        <v>17</v>
      </c>
      <c r="F47" s="21">
        <v>4</v>
      </c>
      <c r="G47" s="21">
        <v>180</v>
      </c>
      <c r="H47" s="21">
        <v>-3</v>
      </c>
      <c r="I47" s="21">
        <v>17</v>
      </c>
      <c r="J47" s="21">
        <v>17</v>
      </c>
    </row>
    <row r="48" spans="1:11" x14ac:dyDescent="0.25">
      <c r="A48" s="21" t="s">
        <v>784</v>
      </c>
      <c r="B48" s="21" t="s">
        <v>785</v>
      </c>
      <c r="C48" s="21" t="s">
        <v>47</v>
      </c>
      <c r="D48" s="21">
        <v>1</v>
      </c>
      <c r="E48" s="21">
        <v>28</v>
      </c>
      <c r="F48" s="21">
        <v>4</v>
      </c>
      <c r="G48" s="21">
        <v>200</v>
      </c>
      <c r="H48" s="21">
        <v>-3</v>
      </c>
      <c r="I48" s="21">
        <v>28</v>
      </c>
      <c r="J48" s="21">
        <v>28</v>
      </c>
    </row>
    <row r="49" spans="1:11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</row>
    <row r="50" spans="1:11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</row>
    <row r="51" spans="1:11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</row>
    <row r="52" spans="1:11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</row>
    <row r="53" spans="1:11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</row>
    <row r="54" spans="1:11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</row>
    <row r="55" spans="1:11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</row>
    <row r="56" spans="1:11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</row>
    <row r="57" spans="1:11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</row>
    <row r="58" spans="1:11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</row>
    <row r="59" spans="1:11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</row>
    <row r="60" spans="1:11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</row>
    <row r="61" spans="1:11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</row>
    <row r="62" spans="1:11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</row>
    <row r="63" spans="1:11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</row>
    <row r="64" spans="1:11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</row>
    <row r="65" spans="1:11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</row>
    <row r="66" spans="1:11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</row>
    <row r="67" spans="1:11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</row>
    <row r="68" spans="1:11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</row>
    <row r="69" spans="1:11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</row>
    <row r="70" spans="1:11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</row>
    <row r="71" spans="1:11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</row>
    <row r="72" spans="1:11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</row>
    <row r="73" spans="1:11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</row>
    <row r="74" spans="1:11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</row>
    <row r="75" spans="1:11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</row>
    <row r="76" spans="1:11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</row>
    <row r="77" spans="1:11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</row>
    <row r="78" spans="1:11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</row>
    <row r="79" spans="1:11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</row>
    <row r="80" spans="1:11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</row>
    <row r="81" spans="1:11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</row>
    <row r="82" spans="1:11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</row>
    <row r="83" spans="1:11" x14ac:dyDescent="0.25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</row>
    <row r="84" spans="1:11" x14ac:dyDescent="0.25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</row>
    <row r="85" spans="1:11" x14ac:dyDescent="0.25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</row>
    <row r="86" spans="1:11" x14ac:dyDescent="0.25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</row>
    <row r="87" spans="1:11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</row>
    <row r="88" spans="1:11" x14ac:dyDescent="0.25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</row>
    <row r="89" spans="1:11" x14ac:dyDescent="0.25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</row>
    <row r="90" spans="1:11" x14ac:dyDescent="0.25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</row>
    <row r="91" spans="1:11" x14ac:dyDescent="0.2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</row>
    <row r="92" spans="1:11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</row>
    <row r="93" spans="1:11" x14ac:dyDescent="0.25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</row>
    <row r="94" spans="1:11" x14ac:dyDescent="0.25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</row>
    <row r="95" spans="1:11" x14ac:dyDescent="0.25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</row>
    <row r="96" spans="1:11" x14ac:dyDescent="0.25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</row>
    <row r="97" spans="1:11" x14ac:dyDescent="0.25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</row>
    <row r="98" spans="1:11" x14ac:dyDescent="0.25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</row>
    <row r="99" spans="1:11" x14ac:dyDescent="0.25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</row>
  </sheetData>
  <mergeCells count="2">
    <mergeCell ref="D1:E1"/>
    <mergeCell ref="F1:G1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2">
    <tabColor rgb="FFFFFF00"/>
  </sheetPr>
  <dimension ref="A1:V12"/>
  <sheetViews>
    <sheetView workbookViewId="0">
      <selection activeCell="M18" sqref="M18"/>
    </sheetView>
  </sheetViews>
  <sheetFormatPr defaultColWidth="8.88671875" defaultRowHeight="14.4" x14ac:dyDescent="0.25"/>
  <cols>
    <col min="1" max="1" width="9.109375" style="24" customWidth="1"/>
    <col min="2" max="2" width="29.6640625" style="24" bestFit="1" customWidth="1"/>
    <col min="3" max="3" width="19.44140625" style="24" customWidth="1"/>
    <col min="4" max="4" width="10.44140625" style="24" hidden="1" customWidth="1"/>
    <col min="5" max="5" width="22" style="24" customWidth="1"/>
    <col min="6" max="6" width="9" style="24" customWidth="1"/>
    <col min="7" max="7" width="9.109375" style="24" customWidth="1"/>
    <col min="8" max="16384" width="8.88671875" style="23"/>
  </cols>
  <sheetData>
    <row r="1" spans="1:22" x14ac:dyDescent="0.25">
      <c r="A1" s="24" t="s">
        <v>73</v>
      </c>
      <c r="B1" s="24" t="s">
        <v>74</v>
      </c>
      <c r="C1" s="24" t="s">
        <v>202</v>
      </c>
      <c r="E1" s="24" t="s">
        <v>130</v>
      </c>
      <c r="F1" s="24" t="s">
        <v>203</v>
      </c>
      <c r="G1" s="24" t="s">
        <v>128</v>
      </c>
    </row>
    <row r="2" spans="1:22" x14ac:dyDescent="0.25">
      <c r="A2" s="25"/>
      <c r="B2" s="25"/>
      <c r="C2" s="25"/>
      <c r="D2" s="25"/>
      <c r="E2" s="25"/>
      <c r="F2" s="25"/>
      <c r="G2" s="25"/>
    </row>
    <row r="3" spans="1:22" x14ac:dyDescent="0.25">
      <c r="A3" s="25"/>
      <c r="B3" s="25"/>
      <c r="C3" s="25"/>
      <c r="D3" s="25"/>
      <c r="E3" s="25"/>
      <c r="F3" s="25"/>
      <c r="G3" s="25"/>
    </row>
    <row r="4" spans="1:22" x14ac:dyDescent="0.25">
      <c r="A4" s="25"/>
      <c r="B4" s="25"/>
      <c r="C4" s="25"/>
      <c r="D4" s="25"/>
      <c r="E4" s="26"/>
      <c r="F4" s="26"/>
      <c r="G4" s="25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 x14ac:dyDescent="0.25">
      <c r="A5" s="25"/>
      <c r="B5" s="25"/>
      <c r="C5" s="25"/>
      <c r="D5" s="25"/>
      <c r="E5" s="25"/>
      <c r="F5" s="25"/>
      <c r="G5" s="25"/>
    </row>
    <row r="6" spans="1:22" x14ac:dyDescent="0.25">
      <c r="A6" s="25"/>
      <c r="B6" s="25"/>
      <c r="C6" s="25"/>
      <c r="D6" s="25"/>
      <c r="E6" s="25"/>
      <c r="F6" s="25"/>
      <c r="G6" s="25"/>
    </row>
    <row r="8" spans="1:22" x14ac:dyDescent="0.25">
      <c r="A8" s="4"/>
      <c r="B8" s="2"/>
      <c r="C8" s="3"/>
      <c r="D8" s="3"/>
      <c r="E8" s="3"/>
      <c r="F8" s="3"/>
    </row>
    <row r="9" spans="1:22" x14ac:dyDescent="0.25">
      <c r="A9" s="4"/>
      <c r="B9" s="2"/>
      <c r="C9" s="3"/>
      <c r="D9" s="3"/>
      <c r="E9" s="3"/>
      <c r="F9" s="3"/>
    </row>
    <row r="10" spans="1:22" x14ac:dyDescent="0.25">
      <c r="A10" s="4"/>
      <c r="B10" s="2"/>
      <c r="C10" s="3"/>
      <c r="D10" s="27"/>
      <c r="E10" s="3"/>
      <c r="F10" s="3"/>
    </row>
    <row r="11" spans="1:22" x14ac:dyDescent="0.25">
      <c r="A11" s="4"/>
      <c r="B11" s="2"/>
      <c r="C11" s="3"/>
      <c r="D11" s="3"/>
      <c r="E11" s="3"/>
      <c r="F11" s="3"/>
    </row>
    <row r="12" spans="1:22" x14ac:dyDescent="0.25">
      <c r="A12" s="4"/>
      <c r="B12" s="2"/>
      <c r="C12" s="3"/>
      <c r="D12" s="3"/>
      <c r="E12" s="3"/>
      <c r="F12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Control Panel</vt:lpstr>
      <vt:lpstr>入庫(U)</vt:lpstr>
      <vt:lpstr>對照表</vt:lpstr>
      <vt:lpstr>雅虎orders</vt:lpstr>
      <vt:lpstr>露天orders</vt:lpstr>
      <vt:lpstr>蝦皮orders</vt:lpstr>
      <vt:lpstr>日報表A</vt:lpstr>
      <vt:lpstr>月報表A</vt:lpstr>
      <vt:lpstr>日報表B</vt:lpstr>
      <vt:lpstr>月報表B</vt:lpstr>
      <vt:lpstr>入庫</vt:lpstr>
      <vt:lpstr>出庫</vt:lpstr>
      <vt:lpstr>圖表</vt:lpstr>
      <vt:lpstr>庫存明細</vt:lpstr>
      <vt:lpstr>促銷組合標籤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lee2nd</cp:lastModifiedBy>
  <dcterms:created xsi:type="dcterms:W3CDTF">2020-12-12T01:30:32Z</dcterms:created>
  <dcterms:modified xsi:type="dcterms:W3CDTF">2022-10-01T10:19:24Z</dcterms:modified>
</cp:coreProperties>
</file>